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mps\2026 Spring\"/>
    </mc:Choice>
  </mc:AlternateContent>
  <xr:revisionPtr revIDLastSave="0" documentId="13_ncr:1_{B59FBD47-86EE-4CF2-898B-9C10EEEFF511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Report" sheetId="2" r:id="rId1"/>
    <sheet name="Pay" sheetId="14" r:id="rId2"/>
    <sheet name="WebPage" sheetId="10" r:id="rId3"/>
    <sheet name="BlankWeek2" sheetId="13" r:id="rId4"/>
    <sheet name="Umps" sheetId="3" r:id="rId5"/>
    <sheet name="Sheet2" sheetId="12" r:id="rId6"/>
    <sheet name="Rules" sheetId="4" r:id="rId7"/>
    <sheet name="Plate Mtg" sheetId="11" r:id="rId8"/>
    <sheet name="Sheet1" sheetId="8" r:id="rId9"/>
  </sheets>
  <definedNames>
    <definedName name="_xlnm._FilterDatabase" localSheetId="0" hidden="1">Report!#REF!</definedName>
    <definedName name="_xlnm.Print_Area" localSheetId="0">Report!#REF!</definedName>
    <definedName name="_xlnm.Print_Titles" localSheetId="0">Report!$1:$1</definedName>
  </definedNames>
  <calcPr calcId="181029"/>
</workbook>
</file>

<file path=xl/calcChain.xml><?xml version="1.0" encoding="utf-8"?>
<calcChain xmlns="http://schemas.openxmlformats.org/spreadsheetml/2006/main">
  <c r="AM97" i="2" l="1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P97" i="2"/>
  <c r="O97" i="2"/>
  <c r="N97" i="2"/>
  <c r="L97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P96" i="2"/>
  <c r="O96" i="2"/>
  <c r="N96" i="2"/>
  <c r="L96" i="2"/>
  <c r="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P83" i="2"/>
  <c r="O83" i="2"/>
  <c r="L83" i="2"/>
  <c r="B21" i="14"/>
  <c r="J112" i="2"/>
  <c r="J80" i="2"/>
  <c r="J20" i="2"/>
  <c r="K109" i="2"/>
  <c r="K108" i="2"/>
  <c r="K104" i="2"/>
  <c r="K100" i="2"/>
  <c r="K95" i="2"/>
  <c r="K92" i="2"/>
  <c r="K91" i="2"/>
  <c r="K88" i="2"/>
  <c r="K87" i="2"/>
  <c r="K84" i="2"/>
  <c r="K82" i="2"/>
  <c r="L112" i="2"/>
  <c r="AM111" i="2"/>
  <c r="AL111" i="2"/>
  <c r="AK111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L111" i="2"/>
  <c r="K111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L110" i="2"/>
  <c r="K110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L109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L108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L107" i="2"/>
  <c r="K107" i="2"/>
  <c r="AM106" i="2"/>
  <c r="AL106" i="2"/>
  <c r="AK106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L106" i="2"/>
  <c r="K106" i="2"/>
  <c r="AM105" i="2"/>
  <c r="AL105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L105" i="2"/>
  <c r="K105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L104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L103" i="2"/>
  <c r="K103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L102" i="2"/>
  <c r="K102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L101" i="2"/>
  <c r="K101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L100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L99" i="2"/>
  <c r="K99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L98" i="2"/>
  <c r="K98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L95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L94" i="2"/>
  <c r="K94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L93" i="2"/>
  <c r="K93" i="2"/>
  <c r="AM92" i="2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L92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L91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L90" i="2"/>
  <c r="K90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L89" i="2"/>
  <c r="K89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L88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L87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L86" i="2"/>
  <c r="K86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L85" i="2"/>
  <c r="K85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L84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L82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L81" i="2"/>
  <c r="K81" i="2"/>
  <c r="M96" i="2" l="1"/>
  <c r="M97" i="2"/>
  <c r="M83" i="2"/>
  <c r="M110" i="2"/>
  <c r="M111" i="2"/>
  <c r="O112" i="2"/>
  <c r="W112" i="2"/>
  <c r="AE112" i="2"/>
  <c r="AI112" i="2"/>
  <c r="S112" i="2"/>
  <c r="AA112" i="2"/>
  <c r="AM112" i="2"/>
  <c r="M109" i="2"/>
  <c r="M108" i="2"/>
  <c r="M82" i="2"/>
  <c r="M105" i="2"/>
  <c r="M106" i="2"/>
  <c r="M107" i="2"/>
  <c r="M84" i="2"/>
  <c r="M87" i="2"/>
  <c r="M89" i="2"/>
  <c r="M90" i="2"/>
  <c r="M92" i="2"/>
  <c r="M95" i="2"/>
  <c r="M98" i="2"/>
  <c r="M101" i="2"/>
  <c r="M103" i="2"/>
  <c r="P112" i="2"/>
  <c r="AJ112" i="2"/>
  <c r="M99" i="2"/>
  <c r="M100" i="2"/>
  <c r="X112" i="2"/>
  <c r="AF112" i="2"/>
  <c r="Q112" i="2"/>
  <c r="U112" i="2"/>
  <c r="Y112" i="2"/>
  <c r="AC112" i="2"/>
  <c r="AG112" i="2"/>
  <c r="AK112" i="2"/>
  <c r="M85" i="2"/>
  <c r="M86" i="2"/>
  <c r="M88" i="2"/>
  <c r="M91" i="2"/>
  <c r="M93" i="2"/>
  <c r="M94" i="2"/>
  <c r="T112" i="2"/>
  <c r="AB112" i="2"/>
  <c r="N112" i="2"/>
  <c r="R112" i="2"/>
  <c r="V112" i="2"/>
  <c r="Z112" i="2"/>
  <c r="AD112" i="2"/>
  <c r="AH112" i="2"/>
  <c r="AL112" i="2"/>
  <c r="M102" i="2"/>
  <c r="M104" i="2"/>
  <c r="M81" i="2"/>
  <c r="AN112" i="2" l="1"/>
  <c r="M112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O43" i="2"/>
  <c r="P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L43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L17" i="2"/>
  <c r="K17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L18" i="2"/>
  <c r="K18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L19" i="2"/>
  <c r="K19" i="2"/>
  <c r="E21" i="12"/>
  <c r="C21" i="12"/>
  <c r="E20" i="12"/>
  <c r="C20" i="12"/>
  <c r="E19" i="12"/>
  <c r="C19" i="12"/>
  <c r="E18" i="12"/>
  <c r="C18" i="12"/>
  <c r="E17" i="12"/>
  <c r="C17" i="1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AM79" i="2"/>
  <c r="AL79" i="2"/>
  <c r="AK79" i="2"/>
  <c r="AF79" i="2"/>
  <c r="AE79" i="2"/>
  <c r="AD79" i="2"/>
  <c r="AC79" i="2"/>
  <c r="AB79" i="2"/>
  <c r="AA79" i="2"/>
  <c r="Z79" i="2"/>
  <c r="AI79" i="2"/>
  <c r="Y79" i="2"/>
  <c r="X79" i="2"/>
  <c r="AH79" i="2"/>
  <c r="AG79" i="2"/>
  <c r="W79" i="2"/>
  <c r="V79" i="2"/>
  <c r="AJ79" i="2"/>
  <c r="U79" i="2"/>
  <c r="T79" i="2"/>
  <c r="S79" i="2"/>
  <c r="R79" i="2"/>
  <c r="Q79" i="2"/>
  <c r="P79" i="2"/>
  <c r="O79" i="2"/>
  <c r="N79" i="2"/>
  <c r="L79" i="2"/>
  <c r="K79" i="2"/>
  <c r="AM78" i="2"/>
  <c r="AL78" i="2"/>
  <c r="AK78" i="2"/>
  <c r="AF78" i="2"/>
  <c r="AE78" i="2"/>
  <c r="AD78" i="2"/>
  <c r="AC78" i="2"/>
  <c r="AB78" i="2"/>
  <c r="AA78" i="2"/>
  <c r="Z78" i="2"/>
  <c r="AI78" i="2"/>
  <c r="Y78" i="2"/>
  <c r="X78" i="2"/>
  <c r="AH78" i="2"/>
  <c r="AG78" i="2"/>
  <c r="W78" i="2"/>
  <c r="V78" i="2"/>
  <c r="AJ78" i="2"/>
  <c r="U78" i="2"/>
  <c r="T78" i="2"/>
  <c r="S78" i="2"/>
  <c r="R78" i="2"/>
  <c r="Q78" i="2"/>
  <c r="P78" i="2"/>
  <c r="O78" i="2"/>
  <c r="N78" i="2"/>
  <c r="L78" i="2"/>
  <c r="K78" i="2"/>
  <c r="AM77" i="2"/>
  <c r="AL77" i="2"/>
  <c r="AK77" i="2"/>
  <c r="AF77" i="2"/>
  <c r="AE77" i="2"/>
  <c r="AD77" i="2"/>
  <c r="AC77" i="2"/>
  <c r="AB77" i="2"/>
  <c r="AA77" i="2"/>
  <c r="Z77" i="2"/>
  <c r="AI77" i="2"/>
  <c r="Y77" i="2"/>
  <c r="X77" i="2"/>
  <c r="AH77" i="2"/>
  <c r="AG77" i="2"/>
  <c r="W77" i="2"/>
  <c r="V77" i="2"/>
  <c r="AJ77" i="2"/>
  <c r="U77" i="2"/>
  <c r="T77" i="2"/>
  <c r="S77" i="2"/>
  <c r="R77" i="2"/>
  <c r="Q77" i="2"/>
  <c r="P77" i="2"/>
  <c r="O77" i="2"/>
  <c r="N77" i="2"/>
  <c r="L77" i="2"/>
  <c r="K77" i="2"/>
  <c r="AM76" i="2"/>
  <c r="AL76" i="2"/>
  <c r="AK76" i="2"/>
  <c r="AF76" i="2"/>
  <c r="AE76" i="2"/>
  <c r="AD76" i="2"/>
  <c r="AC76" i="2"/>
  <c r="AB76" i="2"/>
  <c r="AA76" i="2"/>
  <c r="Z76" i="2"/>
  <c r="AI76" i="2"/>
  <c r="Y76" i="2"/>
  <c r="X76" i="2"/>
  <c r="AH76" i="2"/>
  <c r="AG76" i="2"/>
  <c r="W76" i="2"/>
  <c r="V76" i="2"/>
  <c r="AJ76" i="2"/>
  <c r="U76" i="2"/>
  <c r="T76" i="2"/>
  <c r="S76" i="2"/>
  <c r="R76" i="2"/>
  <c r="Q76" i="2"/>
  <c r="P76" i="2"/>
  <c r="O76" i="2"/>
  <c r="N76" i="2"/>
  <c r="L76" i="2"/>
  <c r="K76" i="2"/>
  <c r="AM75" i="2"/>
  <c r="AL75" i="2"/>
  <c r="AK75" i="2"/>
  <c r="AF75" i="2"/>
  <c r="AE75" i="2"/>
  <c r="AD75" i="2"/>
  <c r="AC75" i="2"/>
  <c r="AB75" i="2"/>
  <c r="AA75" i="2"/>
  <c r="Z75" i="2"/>
  <c r="AI75" i="2"/>
  <c r="Y75" i="2"/>
  <c r="X75" i="2"/>
  <c r="AH75" i="2"/>
  <c r="AG75" i="2"/>
  <c r="W75" i="2"/>
  <c r="V75" i="2"/>
  <c r="AJ75" i="2"/>
  <c r="U75" i="2"/>
  <c r="T75" i="2"/>
  <c r="S75" i="2"/>
  <c r="R75" i="2"/>
  <c r="Q75" i="2"/>
  <c r="P75" i="2"/>
  <c r="O75" i="2"/>
  <c r="N75" i="2"/>
  <c r="L75" i="2"/>
  <c r="K75" i="2"/>
  <c r="AM74" i="2"/>
  <c r="AL74" i="2"/>
  <c r="AK74" i="2"/>
  <c r="AF74" i="2"/>
  <c r="AE74" i="2"/>
  <c r="AD74" i="2"/>
  <c r="AC74" i="2"/>
  <c r="AB74" i="2"/>
  <c r="AA74" i="2"/>
  <c r="Z74" i="2"/>
  <c r="AI74" i="2"/>
  <c r="Y74" i="2"/>
  <c r="X74" i="2"/>
  <c r="AH74" i="2"/>
  <c r="AG74" i="2"/>
  <c r="W74" i="2"/>
  <c r="V74" i="2"/>
  <c r="AJ74" i="2"/>
  <c r="U74" i="2"/>
  <c r="T74" i="2"/>
  <c r="S74" i="2"/>
  <c r="R74" i="2"/>
  <c r="Q74" i="2"/>
  <c r="P74" i="2"/>
  <c r="O74" i="2"/>
  <c r="N74" i="2"/>
  <c r="L74" i="2"/>
  <c r="K74" i="2"/>
  <c r="AM73" i="2"/>
  <c r="AL73" i="2"/>
  <c r="AK73" i="2"/>
  <c r="AF73" i="2"/>
  <c r="AE73" i="2"/>
  <c r="AD73" i="2"/>
  <c r="AC73" i="2"/>
  <c r="AB73" i="2"/>
  <c r="AA73" i="2"/>
  <c r="Z73" i="2"/>
  <c r="AI73" i="2"/>
  <c r="Y73" i="2"/>
  <c r="X73" i="2"/>
  <c r="AH73" i="2"/>
  <c r="AG73" i="2"/>
  <c r="W73" i="2"/>
  <c r="V73" i="2"/>
  <c r="AJ73" i="2"/>
  <c r="U73" i="2"/>
  <c r="T73" i="2"/>
  <c r="S73" i="2"/>
  <c r="R73" i="2"/>
  <c r="Q73" i="2"/>
  <c r="P73" i="2"/>
  <c r="O73" i="2"/>
  <c r="N73" i="2"/>
  <c r="L73" i="2"/>
  <c r="K73" i="2"/>
  <c r="AM72" i="2"/>
  <c r="AL72" i="2"/>
  <c r="AK72" i="2"/>
  <c r="AF72" i="2"/>
  <c r="AE72" i="2"/>
  <c r="AD72" i="2"/>
  <c r="AC72" i="2"/>
  <c r="AB72" i="2"/>
  <c r="AA72" i="2"/>
  <c r="Z72" i="2"/>
  <c r="AI72" i="2"/>
  <c r="Y72" i="2"/>
  <c r="X72" i="2"/>
  <c r="AH72" i="2"/>
  <c r="AG72" i="2"/>
  <c r="W72" i="2"/>
  <c r="V72" i="2"/>
  <c r="AJ72" i="2"/>
  <c r="U72" i="2"/>
  <c r="T72" i="2"/>
  <c r="S72" i="2"/>
  <c r="R72" i="2"/>
  <c r="Q72" i="2"/>
  <c r="P72" i="2"/>
  <c r="O72" i="2"/>
  <c r="N72" i="2"/>
  <c r="L72" i="2"/>
  <c r="K72" i="2"/>
  <c r="AM71" i="2"/>
  <c r="AL71" i="2"/>
  <c r="AK71" i="2"/>
  <c r="AF71" i="2"/>
  <c r="AE71" i="2"/>
  <c r="AD71" i="2"/>
  <c r="AC71" i="2"/>
  <c r="AB71" i="2"/>
  <c r="AA71" i="2"/>
  <c r="Z71" i="2"/>
  <c r="AI71" i="2"/>
  <c r="Y71" i="2"/>
  <c r="X71" i="2"/>
  <c r="AH71" i="2"/>
  <c r="AG71" i="2"/>
  <c r="W71" i="2"/>
  <c r="V71" i="2"/>
  <c r="AJ71" i="2"/>
  <c r="U71" i="2"/>
  <c r="T71" i="2"/>
  <c r="S71" i="2"/>
  <c r="R71" i="2"/>
  <c r="Q71" i="2"/>
  <c r="P71" i="2"/>
  <c r="O71" i="2"/>
  <c r="N71" i="2"/>
  <c r="L71" i="2"/>
  <c r="K71" i="2"/>
  <c r="AM70" i="2"/>
  <c r="AL70" i="2"/>
  <c r="AK70" i="2"/>
  <c r="AF70" i="2"/>
  <c r="AE70" i="2"/>
  <c r="AD70" i="2"/>
  <c r="AC70" i="2"/>
  <c r="AB70" i="2"/>
  <c r="AA70" i="2"/>
  <c r="Z70" i="2"/>
  <c r="AI70" i="2"/>
  <c r="Y70" i="2"/>
  <c r="X70" i="2"/>
  <c r="AH70" i="2"/>
  <c r="AG70" i="2"/>
  <c r="W70" i="2"/>
  <c r="V70" i="2"/>
  <c r="AJ70" i="2"/>
  <c r="U70" i="2"/>
  <c r="T70" i="2"/>
  <c r="S70" i="2"/>
  <c r="R70" i="2"/>
  <c r="Q70" i="2"/>
  <c r="P70" i="2"/>
  <c r="O70" i="2"/>
  <c r="N70" i="2"/>
  <c r="L70" i="2"/>
  <c r="K70" i="2"/>
  <c r="AM69" i="2"/>
  <c r="AL69" i="2"/>
  <c r="AK69" i="2"/>
  <c r="AF69" i="2"/>
  <c r="AE69" i="2"/>
  <c r="AD69" i="2"/>
  <c r="AC69" i="2"/>
  <c r="AB69" i="2"/>
  <c r="AA69" i="2"/>
  <c r="Z69" i="2"/>
  <c r="AI69" i="2"/>
  <c r="Y69" i="2"/>
  <c r="X69" i="2"/>
  <c r="AH69" i="2"/>
  <c r="AG69" i="2"/>
  <c r="W69" i="2"/>
  <c r="V69" i="2"/>
  <c r="AJ69" i="2"/>
  <c r="U69" i="2"/>
  <c r="T69" i="2"/>
  <c r="S69" i="2"/>
  <c r="R69" i="2"/>
  <c r="Q69" i="2"/>
  <c r="P69" i="2"/>
  <c r="O69" i="2"/>
  <c r="N69" i="2"/>
  <c r="L69" i="2"/>
  <c r="K69" i="2"/>
  <c r="AM68" i="2"/>
  <c r="AL68" i="2"/>
  <c r="AK68" i="2"/>
  <c r="AF68" i="2"/>
  <c r="AE68" i="2"/>
  <c r="AD68" i="2"/>
  <c r="AC68" i="2"/>
  <c r="AB68" i="2"/>
  <c r="AA68" i="2"/>
  <c r="Z68" i="2"/>
  <c r="AI68" i="2"/>
  <c r="Y68" i="2"/>
  <c r="X68" i="2"/>
  <c r="AH68" i="2"/>
  <c r="AG68" i="2"/>
  <c r="W68" i="2"/>
  <c r="V68" i="2"/>
  <c r="AJ68" i="2"/>
  <c r="U68" i="2"/>
  <c r="T68" i="2"/>
  <c r="S68" i="2"/>
  <c r="R68" i="2"/>
  <c r="Q68" i="2"/>
  <c r="P68" i="2"/>
  <c r="O68" i="2"/>
  <c r="N68" i="2"/>
  <c r="L68" i="2"/>
  <c r="K68" i="2"/>
  <c r="AM67" i="2"/>
  <c r="AL67" i="2"/>
  <c r="AK67" i="2"/>
  <c r="AF67" i="2"/>
  <c r="AE67" i="2"/>
  <c r="AD67" i="2"/>
  <c r="AC67" i="2"/>
  <c r="AB67" i="2"/>
  <c r="AA67" i="2"/>
  <c r="Z67" i="2"/>
  <c r="AI67" i="2"/>
  <c r="Y67" i="2"/>
  <c r="X67" i="2"/>
  <c r="AH67" i="2"/>
  <c r="AG67" i="2"/>
  <c r="W67" i="2"/>
  <c r="V67" i="2"/>
  <c r="AJ67" i="2"/>
  <c r="U67" i="2"/>
  <c r="T67" i="2"/>
  <c r="S67" i="2"/>
  <c r="R67" i="2"/>
  <c r="Q67" i="2"/>
  <c r="P67" i="2"/>
  <c r="O67" i="2"/>
  <c r="N67" i="2"/>
  <c r="L67" i="2"/>
  <c r="K67" i="2"/>
  <c r="AM66" i="2"/>
  <c r="AL66" i="2"/>
  <c r="AK66" i="2"/>
  <c r="AF66" i="2"/>
  <c r="AE66" i="2"/>
  <c r="AD66" i="2"/>
  <c r="AC66" i="2"/>
  <c r="AB66" i="2"/>
  <c r="AA66" i="2"/>
  <c r="Z66" i="2"/>
  <c r="AI66" i="2"/>
  <c r="Y66" i="2"/>
  <c r="X66" i="2"/>
  <c r="AH66" i="2"/>
  <c r="AG66" i="2"/>
  <c r="W66" i="2"/>
  <c r="V66" i="2"/>
  <c r="AJ66" i="2"/>
  <c r="U66" i="2"/>
  <c r="T66" i="2"/>
  <c r="S66" i="2"/>
  <c r="R66" i="2"/>
  <c r="Q66" i="2"/>
  <c r="P66" i="2"/>
  <c r="O66" i="2"/>
  <c r="N66" i="2"/>
  <c r="L66" i="2"/>
  <c r="K66" i="2"/>
  <c r="AM64" i="2"/>
  <c r="AL64" i="2"/>
  <c r="AK64" i="2"/>
  <c r="AF64" i="2"/>
  <c r="AE64" i="2"/>
  <c r="AD64" i="2"/>
  <c r="AC64" i="2"/>
  <c r="AB64" i="2"/>
  <c r="AA64" i="2"/>
  <c r="Z64" i="2"/>
  <c r="AI64" i="2"/>
  <c r="Y64" i="2"/>
  <c r="X64" i="2"/>
  <c r="AH64" i="2"/>
  <c r="AG64" i="2"/>
  <c r="W64" i="2"/>
  <c r="V64" i="2"/>
  <c r="AJ64" i="2"/>
  <c r="U64" i="2"/>
  <c r="T64" i="2"/>
  <c r="S64" i="2"/>
  <c r="R64" i="2"/>
  <c r="Q64" i="2"/>
  <c r="P64" i="2"/>
  <c r="O64" i="2"/>
  <c r="N64" i="2"/>
  <c r="L64" i="2"/>
  <c r="K64" i="2"/>
  <c r="AM63" i="2"/>
  <c r="AL63" i="2"/>
  <c r="AK63" i="2"/>
  <c r="AF63" i="2"/>
  <c r="AE63" i="2"/>
  <c r="AD63" i="2"/>
  <c r="AC63" i="2"/>
  <c r="AB63" i="2"/>
  <c r="AA63" i="2"/>
  <c r="Z63" i="2"/>
  <c r="AI63" i="2"/>
  <c r="Y63" i="2"/>
  <c r="X63" i="2"/>
  <c r="AH63" i="2"/>
  <c r="AG63" i="2"/>
  <c r="W63" i="2"/>
  <c r="V63" i="2"/>
  <c r="AJ63" i="2"/>
  <c r="U63" i="2"/>
  <c r="T63" i="2"/>
  <c r="S63" i="2"/>
  <c r="R63" i="2"/>
  <c r="Q63" i="2"/>
  <c r="P63" i="2"/>
  <c r="O63" i="2"/>
  <c r="N63" i="2"/>
  <c r="L63" i="2"/>
  <c r="K63" i="2"/>
  <c r="AM62" i="2"/>
  <c r="AL62" i="2"/>
  <c r="AK62" i="2"/>
  <c r="AF62" i="2"/>
  <c r="AE62" i="2"/>
  <c r="AD62" i="2"/>
  <c r="AC62" i="2"/>
  <c r="AB62" i="2"/>
  <c r="AA62" i="2"/>
  <c r="Z62" i="2"/>
  <c r="AI62" i="2"/>
  <c r="Y62" i="2"/>
  <c r="X62" i="2"/>
  <c r="AH62" i="2"/>
  <c r="AG62" i="2"/>
  <c r="W62" i="2"/>
  <c r="V62" i="2"/>
  <c r="AJ62" i="2"/>
  <c r="U62" i="2"/>
  <c r="T62" i="2"/>
  <c r="S62" i="2"/>
  <c r="R62" i="2"/>
  <c r="Q62" i="2"/>
  <c r="P62" i="2"/>
  <c r="O62" i="2"/>
  <c r="N62" i="2"/>
  <c r="L62" i="2"/>
  <c r="K62" i="2"/>
  <c r="AM61" i="2"/>
  <c r="AL61" i="2"/>
  <c r="AK61" i="2"/>
  <c r="AF61" i="2"/>
  <c r="AE61" i="2"/>
  <c r="AD61" i="2"/>
  <c r="AC61" i="2"/>
  <c r="AB61" i="2"/>
  <c r="AA61" i="2"/>
  <c r="Z61" i="2"/>
  <c r="AI61" i="2"/>
  <c r="Y61" i="2"/>
  <c r="X61" i="2"/>
  <c r="AH61" i="2"/>
  <c r="AG61" i="2"/>
  <c r="W61" i="2"/>
  <c r="V61" i="2"/>
  <c r="AJ61" i="2"/>
  <c r="U61" i="2"/>
  <c r="T61" i="2"/>
  <c r="S61" i="2"/>
  <c r="R61" i="2"/>
  <c r="Q61" i="2"/>
  <c r="P61" i="2"/>
  <c r="O61" i="2"/>
  <c r="N61" i="2"/>
  <c r="L61" i="2"/>
  <c r="K61" i="2"/>
  <c r="AM60" i="2"/>
  <c r="AL60" i="2"/>
  <c r="AK60" i="2"/>
  <c r="AF60" i="2"/>
  <c r="AE60" i="2"/>
  <c r="AD60" i="2"/>
  <c r="AC60" i="2"/>
  <c r="AB60" i="2"/>
  <c r="AA60" i="2"/>
  <c r="Z60" i="2"/>
  <c r="AI60" i="2"/>
  <c r="Y60" i="2"/>
  <c r="X60" i="2"/>
  <c r="AH60" i="2"/>
  <c r="AG60" i="2"/>
  <c r="W60" i="2"/>
  <c r="V60" i="2"/>
  <c r="AJ60" i="2"/>
  <c r="U60" i="2"/>
  <c r="T60" i="2"/>
  <c r="S60" i="2"/>
  <c r="R60" i="2"/>
  <c r="Q60" i="2"/>
  <c r="P60" i="2"/>
  <c r="O60" i="2"/>
  <c r="N60" i="2"/>
  <c r="L60" i="2"/>
  <c r="K60" i="2"/>
  <c r="AM59" i="2"/>
  <c r="AL59" i="2"/>
  <c r="AK59" i="2"/>
  <c r="AF59" i="2"/>
  <c r="AE59" i="2"/>
  <c r="AD59" i="2"/>
  <c r="AC59" i="2"/>
  <c r="AB59" i="2"/>
  <c r="AA59" i="2"/>
  <c r="Z59" i="2"/>
  <c r="AI59" i="2"/>
  <c r="Y59" i="2"/>
  <c r="X59" i="2"/>
  <c r="AH59" i="2"/>
  <c r="AG59" i="2"/>
  <c r="W59" i="2"/>
  <c r="V59" i="2"/>
  <c r="AJ59" i="2"/>
  <c r="U59" i="2"/>
  <c r="T59" i="2"/>
  <c r="S59" i="2"/>
  <c r="R59" i="2"/>
  <c r="Q59" i="2"/>
  <c r="P59" i="2"/>
  <c r="O59" i="2"/>
  <c r="N59" i="2"/>
  <c r="L59" i="2"/>
  <c r="K59" i="2"/>
  <c r="AM58" i="2"/>
  <c r="AL58" i="2"/>
  <c r="AK58" i="2"/>
  <c r="AF58" i="2"/>
  <c r="AE58" i="2"/>
  <c r="AD58" i="2"/>
  <c r="AC58" i="2"/>
  <c r="AB58" i="2"/>
  <c r="AA58" i="2"/>
  <c r="Z58" i="2"/>
  <c r="AI58" i="2"/>
  <c r="Y58" i="2"/>
  <c r="X58" i="2"/>
  <c r="AH58" i="2"/>
  <c r="AG58" i="2"/>
  <c r="W58" i="2"/>
  <c r="V58" i="2"/>
  <c r="AJ58" i="2"/>
  <c r="U58" i="2"/>
  <c r="T58" i="2"/>
  <c r="S58" i="2"/>
  <c r="R58" i="2"/>
  <c r="Q58" i="2"/>
  <c r="P58" i="2"/>
  <c r="O58" i="2"/>
  <c r="N58" i="2"/>
  <c r="L58" i="2"/>
  <c r="K58" i="2"/>
  <c r="AM57" i="2"/>
  <c r="AL57" i="2"/>
  <c r="AK57" i="2"/>
  <c r="AF57" i="2"/>
  <c r="AE57" i="2"/>
  <c r="AD57" i="2"/>
  <c r="AC57" i="2"/>
  <c r="AB57" i="2"/>
  <c r="AA57" i="2"/>
  <c r="Z57" i="2"/>
  <c r="AI57" i="2"/>
  <c r="Y57" i="2"/>
  <c r="X57" i="2"/>
  <c r="AH57" i="2"/>
  <c r="AG57" i="2"/>
  <c r="W57" i="2"/>
  <c r="V57" i="2"/>
  <c r="AJ57" i="2"/>
  <c r="U57" i="2"/>
  <c r="T57" i="2"/>
  <c r="S57" i="2"/>
  <c r="R57" i="2"/>
  <c r="Q57" i="2"/>
  <c r="P57" i="2"/>
  <c r="O57" i="2"/>
  <c r="N57" i="2"/>
  <c r="L57" i="2"/>
  <c r="K57" i="2"/>
  <c r="AM56" i="2"/>
  <c r="AL56" i="2"/>
  <c r="AK56" i="2"/>
  <c r="AF56" i="2"/>
  <c r="AE56" i="2"/>
  <c r="AD56" i="2"/>
  <c r="AC56" i="2"/>
  <c r="AB56" i="2"/>
  <c r="AA56" i="2"/>
  <c r="Z56" i="2"/>
  <c r="AI56" i="2"/>
  <c r="Y56" i="2"/>
  <c r="X56" i="2"/>
  <c r="AH56" i="2"/>
  <c r="AG56" i="2"/>
  <c r="W56" i="2"/>
  <c r="V56" i="2"/>
  <c r="AJ56" i="2"/>
  <c r="U56" i="2"/>
  <c r="T56" i="2"/>
  <c r="S56" i="2"/>
  <c r="R56" i="2"/>
  <c r="Q56" i="2"/>
  <c r="P56" i="2"/>
  <c r="O56" i="2"/>
  <c r="N56" i="2"/>
  <c r="L56" i="2"/>
  <c r="K56" i="2"/>
  <c r="AM55" i="2"/>
  <c r="AL55" i="2"/>
  <c r="AK55" i="2"/>
  <c r="AF55" i="2"/>
  <c r="AE55" i="2"/>
  <c r="AD55" i="2"/>
  <c r="AC55" i="2"/>
  <c r="AB55" i="2"/>
  <c r="AA55" i="2"/>
  <c r="Z55" i="2"/>
  <c r="AI55" i="2"/>
  <c r="Y55" i="2"/>
  <c r="X55" i="2"/>
  <c r="AH55" i="2"/>
  <c r="AG55" i="2"/>
  <c r="W55" i="2"/>
  <c r="V55" i="2"/>
  <c r="AJ55" i="2"/>
  <c r="U55" i="2"/>
  <c r="T55" i="2"/>
  <c r="S55" i="2"/>
  <c r="R55" i="2"/>
  <c r="Q55" i="2"/>
  <c r="P55" i="2"/>
  <c r="O55" i="2"/>
  <c r="N55" i="2"/>
  <c r="L55" i="2"/>
  <c r="K55" i="2"/>
  <c r="AM54" i="2"/>
  <c r="AL54" i="2"/>
  <c r="AK54" i="2"/>
  <c r="AF54" i="2"/>
  <c r="AE54" i="2"/>
  <c r="AD54" i="2"/>
  <c r="AC54" i="2"/>
  <c r="AB54" i="2"/>
  <c r="AA54" i="2"/>
  <c r="Z54" i="2"/>
  <c r="AI54" i="2"/>
  <c r="Y54" i="2"/>
  <c r="X54" i="2"/>
  <c r="AH54" i="2"/>
  <c r="AG54" i="2"/>
  <c r="W54" i="2"/>
  <c r="V54" i="2"/>
  <c r="AJ54" i="2"/>
  <c r="U54" i="2"/>
  <c r="T54" i="2"/>
  <c r="S54" i="2"/>
  <c r="R54" i="2"/>
  <c r="Q54" i="2"/>
  <c r="P54" i="2"/>
  <c r="O54" i="2"/>
  <c r="N54" i="2"/>
  <c r="L54" i="2"/>
  <c r="K54" i="2"/>
  <c r="AM53" i="2"/>
  <c r="AL53" i="2"/>
  <c r="AK53" i="2"/>
  <c r="AF53" i="2"/>
  <c r="AE53" i="2"/>
  <c r="AD53" i="2"/>
  <c r="AC53" i="2"/>
  <c r="AB53" i="2"/>
  <c r="AA53" i="2"/>
  <c r="Z53" i="2"/>
  <c r="AI53" i="2"/>
  <c r="Y53" i="2"/>
  <c r="X53" i="2"/>
  <c r="AH53" i="2"/>
  <c r="AG53" i="2"/>
  <c r="W53" i="2"/>
  <c r="V53" i="2"/>
  <c r="AJ53" i="2"/>
  <c r="U53" i="2"/>
  <c r="T53" i="2"/>
  <c r="S53" i="2"/>
  <c r="R53" i="2"/>
  <c r="Q53" i="2"/>
  <c r="P53" i="2"/>
  <c r="O53" i="2"/>
  <c r="N53" i="2"/>
  <c r="L53" i="2"/>
  <c r="K53" i="2"/>
  <c r="AM52" i="2"/>
  <c r="AL52" i="2"/>
  <c r="AK52" i="2"/>
  <c r="AF52" i="2"/>
  <c r="AE52" i="2"/>
  <c r="AD52" i="2"/>
  <c r="AC52" i="2"/>
  <c r="AB52" i="2"/>
  <c r="AA52" i="2"/>
  <c r="Z52" i="2"/>
  <c r="AI52" i="2"/>
  <c r="Y52" i="2"/>
  <c r="X52" i="2"/>
  <c r="AH52" i="2"/>
  <c r="AG52" i="2"/>
  <c r="W52" i="2"/>
  <c r="V52" i="2"/>
  <c r="AJ52" i="2"/>
  <c r="U52" i="2"/>
  <c r="T52" i="2"/>
  <c r="S52" i="2"/>
  <c r="R52" i="2"/>
  <c r="Q52" i="2"/>
  <c r="P52" i="2"/>
  <c r="O52" i="2"/>
  <c r="N52" i="2"/>
  <c r="L52" i="2"/>
  <c r="K52" i="2"/>
  <c r="AM51" i="2"/>
  <c r="AL51" i="2"/>
  <c r="AK51" i="2"/>
  <c r="AF51" i="2"/>
  <c r="AE51" i="2"/>
  <c r="AD51" i="2"/>
  <c r="AC51" i="2"/>
  <c r="AB51" i="2"/>
  <c r="AA51" i="2"/>
  <c r="Z51" i="2"/>
  <c r="AI51" i="2"/>
  <c r="Y51" i="2"/>
  <c r="X51" i="2"/>
  <c r="AH51" i="2"/>
  <c r="AG51" i="2"/>
  <c r="W51" i="2"/>
  <c r="V51" i="2"/>
  <c r="AJ51" i="2"/>
  <c r="U51" i="2"/>
  <c r="T51" i="2"/>
  <c r="S51" i="2"/>
  <c r="R51" i="2"/>
  <c r="Q51" i="2"/>
  <c r="P51" i="2"/>
  <c r="O51" i="2"/>
  <c r="N51" i="2"/>
  <c r="L51" i="2"/>
  <c r="K51" i="2"/>
  <c r="L80" i="2"/>
  <c r="AM16" i="2"/>
  <c r="AL16" i="2"/>
  <c r="AK16" i="2"/>
  <c r="AF16" i="2"/>
  <c r="AE16" i="2"/>
  <c r="AD16" i="2"/>
  <c r="AC16" i="2"/>
  <c r="AB16" i="2"/>
  <c r="AA16" i="2"/>
  <c r="Z16" i="2"/>
  <c r="AI16" i="2"/>
  <c r="Y16" i="2"/>
  <c r="X16" i="2"/>
  <c r="AH16" i="2"/>
  <c r="AG16" i="2"/>
  <c r="W16" i="2"/>
  <c r="V16" i="2"/>
  <c r="AJ16" i="2"/>
  <c r="U16" i="2"/>
  <c r="T16" i="2"/>
  <c r="S16" i="2"/>
  <c r="R16" i="2"/>
  <c r="Q16" i="2"/>
  <c r="P16" i="2"/>
  <c r="AM15" i="2"/>
  <c r="AL15" i="2"/>
  <c r="AK15" i="2"/>
  <c r="AF15" i="2"/>
  <c r="AE15" i="2"/>
  <c r="AD15" i="2"/>
  <c r="AC15" i="2"/>
  <c r="AB15" i="2"/>
  <c r="AA15" i="2"/>
  <c r="Z15" i="2"/>
  <c r="AI15" i="2"/>
  <c r="Y15" i="2"/>
  <c r="X15" i="2"/>
  <c r="AH15" i="2"/>
  <c r="AG15" i="2"/>
  <c r="W15" i="2"/>
  <c r="V15" i="2"/>
  <c r="AJ15" i="2"/>
  <c r="U15" i="2"/>
  <c r="T15" i="2"/>
  <c r="S15" i="2"/>
  <c r="R15" i="2"/>
  <c r="Q15" i="2"/>
  <c r="P15" i="2"/>
  <c r="AM14" i="2"/>
  <c r="AL14" i="2"/>
  <c r="AK14" i="2"/>
  <c r="AF14" i="2"/>
  <c r="AE14" i="2"/>
  <c r="AD14" i="2"/>
  <c r="AC14" i="2"/>
  <c r="AB14" i="2"/>
  <c r="AA14" i="2"/>
  <c r="Z14" i="2"/>
  <c r="AI14" i="2"/>
  <c r="Y14" i="2"/>
  <c r="X14" i="2"/>
  <c r="AH14" i="2"/>
  <c r="AG14" i="2"/>
  <c r="W14" i="2"/>
  <c r="V14" i="2"/>
  <c r="AJ14" i="2"/>
  <c r="U14" i="2"/>
  <c r="T14" i="2"/>
  <c r="S14" i="2"/>
  <c r="R14" i="2"/>
  <c r="Q14" i="2"/>
  <c r="P14" i="2"/>
  <c r="AM13" i="2"/>
  <c r="AL13" i="2"/>
  <c r="AK13" i="2"/>
  <c r="AF13" i="2"/>
  <c r="AE13" i="2"/>
  <c r="AD13" i="2"/>
  <c r="AC13" i="2"/>
  <c r="AB13" i="2"/>
  <c r="AA13" i="2"/>
  <c r="Z13" i="2"/>
  <c r="AI13" i="2"/>
  <c r="Y13" i="2"/>
  <c r="X13" i="2"/>
  <c r="AH13" i="2"/>
  <c r="AG13" i="2"/>
  <c r="W13" i="2"/>
  <c r="V13" i="2"/>
  <c r="AJ13" i="2"/>
  <c r="U13" i="2"/>
  <c r="T13" i="2"/>
  <c r="S13" i="2"/>
  <c r="R13" i="2"/>
  <c r="Q13" i="2"/>
  <c r="P13" i="2"/>
  <c r="AM12" i="2"/>
  <c r="AL12" i="2"/>
  <c r="AK12" i="2"/>
  <c r="AF12" i="2"/>
  <c r="AE12" i="2"/>
  <c r="AD12" i="2"/>
  <c r="AC12" i="2"/>
  <c r="AB12" i="2"/>
  <c r="AA12" i="2"/>
  <c r="Z12" i="2"/>
  <c r="AI12" i="2"/>
  <c r="Y12" i="2"/>
  <c r="X12" i="2"/>
  <c r="AH12" i="2"/>
  <c r="AG12" i="2"/>
  <c r="W12" i="2"/>
  <c r="V12" i="2"/>
  <c r="AJ12" i="2"/>
  <c r="U12" i="2"/>
  <c r="T12" i="2"/>
  <c r="S12" i="2"/>
  <c r="R12" i="2"/>
  <c r="Q12" i="2"/>
  <c r="P12" i="2"/>
  <c r="AM11" i="2"/>
  <c r="AL11" i="2"/>
  <c r="AK11" i="2"/>
  <c r="AF11" i="2"/>
  <c r="AE11" i="2"/>
  <c r="AD11" i="2"/>
  <c r="AC11" i="2"/>
  <c r="AB11" i="2"/>
  <c r="AA11" i="2"/>
  <c r="Z11" i="2"/>
  <c r="AI11" i="2"/>
  <c r="Y11" i="2"/>
  <c r="X11" i="2"/>
  <c r="AH11" i="2"/>
  <c r="AG11" i="2"/>
  <c r="W11" i="2"/>
  <c r="V11" i="2"/>
  <c r="AJ11" i="2"/>
  <c r="U11" i="2"/>
  <c r="T11" i="2"/>
  <c r="S11" i="2"/>
  <c r="R11" i="2"/>
  <c r="Q11" i="2"/>
  <c r="P11" i="2"/>
  <c r="AM10" i="2"/>
  <c r="AL10" i="2"/>
  <c r="AK10" i="2"/>
  <c r="AF10" i="2"/>
  <c r="AE10" i="2"/>
  <c r="AD10" i="2"/>
  <c r="AC10" i="2"/>
  <c r="AB10" i="2"/>
  <c r="AA10" i="2"/>
  <c r="Z10" i="2"/>
  <c r="AI10" i="2"/>
  <c r="Y10" i="2"/>
  <c r="X10" i="2"/>
  <c r="AH10" i="2"/>
  <c r="AG10" i="2"/>
  <c r="W10" i="2"/>
  <c r="V10" i="2"/>
  <c r="AJ10" i="2"/>
  <c r="U10" i="2"/>
  <c r="T10" i="2"/>
  <c r="S10" i="2"/>
  <c r="R10" i="2"/>
  <c r="Q10" i="2"/>
  <c r="P10" i="2"/>
  <c r="AM9" i="2"/>
  <c r="AL9" i="2"/>
  <c r="AK9" i="2"/>
  <c r="AF9" i="2"/>
  <c r="AE9" i="2"/>
  <c r="AD9" i="2"/>
  <c r="AC9" i="2"/>
  <c r="AB9" i="2"/>
  <c r="AA9" i="2"/>
  <c r="Z9" i="2"/>
  <c r="AI9" i="2"/>
  <c r="Y9" i="2"/>
  <c r="X9" i="2"/>
  <c r="AH9" i="2"/>
  <c r="AG9" i="2"/>
  <c r="W9" i="2"/>
  <c r="V9" i="2"/>
  <c r="AJ9" i="2"/>
  <c r="U9" i="2"/>
  <c r="T9" i="2"/>
  <c r="S9" i="2"/>
  <c r="R9" i="2"/>
  <c r="Q9" i="2"/>
  <c r="P9" i="2"/>
  <c r="AM8" i="2"/>
  <c r="AL8" i="2"/>
  <c r="AK8" i="2"/>
  <c r="AF8" i="2"/>
  <c r="AE8" i="2"/>
  <c r="AD8" i="2"/>
  <c r="AC8" i="2"/>
  <c r="AB8" i="2"/>
  <c r="AA8" i="2"/>
  <c r="Z8" i="2"/>
  <c r="AI8" i="2"/>
  <c r="Y8" i="2"/>
  <c r="X8" i="2"/>
  <c r="AH8" i="2"/>
  <c r="AG8" i="2"/>
  <c r="W8" i="2"/>
  <c r="V8" i="2"/>
  <c r="AJ8" i="2"/>
  <c r="U8" i="2"/>
  <c r="T8" i="2"/>
  <c r="S8" i="2"/>
  <c r="R8" i="2"/>
  <c r="Q8" i="2"/>
  <c r="P8" i="2"/>
  <c r="AM7" i="2"/>
  <c r="AL7" i="2"/>
  <c r="AK7" i="2"/>
  <c r="AF7" i="2"/>
  <c r="AE7" i="2"/>
  <c r="AD7" i="2"/>
  <c r="AC7" i="2"/>
  <c r="AB7" i="2"/>
  <c r="AA7" i="2"/>
  <c r="Z7" i="2"/>
  <c r="AI7" i="2"/>
  <c r="Y7" i="2"/>
  <c r="X7" i="2"/>
  <c r="AH7" i="2"/>
  <c r="AG7" i="2"/>
  <c r="W7" i="2"/>
  <c r="V7" i="2"/>
  <c r="AJ7" i="2"/>
  <c r="U7" i="2"/>
  <c r="T7" i="2"/>
  <c r="S7" i="2"/>
  <c r="R7" i="2"/>
  <c r="Q7" i="2"/>
  <c r="P7" i="2"/>
  <c r="AM6" i="2"/>
  <c r="AL6" i="2"/>
  <c r="AK6" i="2"/>
  <c r="AF6" i="2"/>
  <c r="AE6" i="2"/>
  <c r="AD6" i="2"/>
  <c r="AC6" i="2"/>
  <c r="AB6" i="2"/>
  <c r="AA6" i="2"/>
  <c r="Z6" i="2"/>
  <c r="AI6" i="2"/>
  <c r="Y6" i="2"/>
  <c r="X6" i="2"/>
  <c r="AH6" i="2"/>
  <c r="AG6" i="2"/>
  <c r="W6" i="2"/>
  <c r="V6" i="2"/>
  <c r="AJ6" i="2"/>
  <c r="U6" i="2"/>
  <c r="T6" i="2"/>
  <c r="S6" i="2"/>
  <c r="R6" i="2"/>
  <c r="Q6" i="2"/>
  <c r="P6" i="2"/>
  <c r="AM5" i="2"/>
  <c r="AL5" i="2"/>
  <c r="AK5" i="2"/>
  <c r="AF5" i="2"/>
  <c r="AE5" i="2"/>
  <c r="AD5" i="2"/>
  <c r="AC5" i="2"/>
  <c r="AB5" i="2"/>
  <c r="AA5" i="2"/>
  <c r="Z5" i="2"/>
  <c r="AI5" i="2"/>
  <c r="Y5" i="2"/>
  <c r="X5" i="2"/>
  <c r="AH5" i="2"/>
  <c r="AG5" i="2"/>
  <c r="W5" i="2"/>
  <c r="V5" i="2"/>
  <c r="AJ5" i="2"/>
  <c r="U5" i="2"/>
  <c r="T5" i="2"/>
  <c r="S5" i="2"/>
  <c r="R5" i="2"/>
  <c r="Q5" i="2"/>
  <c r="P5" i="2"/>
  <c r="AM4" i="2"/>
  <c r="AL4" i="2"/>
  <c r="AK4" i="2"/>
  <c r="AF4" i="2"/>
  <c r="AE4" i="2"/>
  <c r="AD4" i="2"/>
  <c r="AC4" i="2"/>
  <c r="AB4" i="2"/>
  <c r="AA4" i="2"/>
  <c r="Z4" i="2"/>
  <c r="AI4" i="2"/>
  <c r="Y4" i="2"/>
  <c r="X4" i="2"/>
  <c r="AH4" i="2"/>
  <c r="AG4" i="2"/>
  <c r="W4" i="2"/>
  <c r="V4" i="2"/>
  <c r="AJ4" i="2"/>
  <c r="U4" i="2"/>
  <c r="T4" i="2"/>
  <c r="S4" i="2"/>
  <c r="R4" i="2"/>
  <c r="Q4" i="2"/>
  <c r="P4" i="2"/>
  <c r="AM3" i="2"/>
  <c r="AL3" i="2"/>
  <c r="AK3" i="2"/>
  <c r="AF3" i="2"/>
  <c r="AE3" i="2"/>
  <c r="AD3" i="2"/>
  <c r="AC3" i="2"/>
  <c r="AB3" i="2"/>
  <c r="AA3" i="2"/>
  <c r="Z3" i="2"/>
  <c r="AI3" i="2"/>
  <c r="AI20" i="2" s="1"/>
  <c r="Y3" i="2"/>
  <c r="X3" i="2"/>
  <c r="AH3" i="2"/>
  <c r="AG3" i="2"/>
  <c r="W3" i="2"/>
  <c r="V3" i="2"/>
  <c r="AJ3" i="2"/>
  <c r="U3" i="2"/>
  <c r="T3" i="2"/>
  <c r="S3" i="2"/>
  <c r="R3" i="2"/>
  <c r="Q3" i="2"/>
  <c r="P3" i="2"/>
  <c r="AM49" i="2"/>
  <c r="AL49" i="2"/>
  <c r="AK49" i="2"/>
  <c r="AF49" i="2"/>
  <c r="AE49" i="2"/>
  <c r="AD49" i="2"/>
  <c r="AC49" i="2"/>
  <c r="AB49" i="2"/>
  <c r="AA49" i="2"/>
  <c r="Z49" i="2"/>
  <c r="AI49" i="2"/>
  <c r="Y49" i="2"/>
  <c r="X49" i="2"/>
  <c r="AH49" i="2"/>
  <c r="AG49" i="2"/>
  <c r="W49" i="2"/>
  <c r="V49" i="2"/>
  <c r="AJ49" i="2"/>
  <c r="U49" i="2"/>
  <c r="T49" i="2"/>
  <c r="S49" i="2"/>
  <c r="R49" i="2"/>
  <c r="Q49" i="2"/>
  <c r="P49" i="2"/>
  <c r="AM48" i="2"/>
  <c r="AL48" i="2"/>
  <c r="AK48" i="2"/>
  <c r="AF48" i="2"/>
  <c r="AE48" i="2"/>
  <c r="AD48" i="2"/>
  <c r="AC48" i="2"/>
  <c r="AB48" i="2"/>
  <c r="AA48" i="2"/>
  <c r="Z48" i="2"/>
  <c r="AI48" i="2"/>
  <c r="Y48" i="2"/>
  <c r="X48" i="2"/>
  <c r="AH48" i="2"/>
  <c r="AG48" i="2"/>
  <c r="W48" i="2"/>
  <c r="V48" i="2"/>
  <c r="AJ48" i="2"/>
  <c r="U48" i="2"/>
  <c r="T48" i="2"/>
  <c r="S48" i="2"/>
  <c r="R48" i="2"/>
  <c r="Q48" i="2"/>
  <c r="P48" i="2"/>
  <c r="AM47" i="2"/>
  <c r="AL47" i="2"/>
  <c r="AK47" i="2"/>
  <c r="AF47" i="2"/>
  <c r="AE47" i="2"/>
  <c r="AD47" i="2"/>
  <c r="AC47" i="2"/>
  <c r="AB47" i="2"/>
  <c r="AA47" i="2"/>
  <c r="Z47" i="2"/>
  <c r="AI47" i="2"/>
  <c r="Y47" i="2"/>
  <c r="X47" i="2"/>
  <c r="AH47" i="2"/>
  <c r="AG47" i="2"/>
  <c r="W47" i="2"/>
  <c r="V47" i="2"/>
  <c r="AJ47" i="2"/>
  <c r="U47" i="2"/>
  <c r="T47" i="2"/>
  <c r="S47" i="2"/>
  <c r="R47" i="2"/>
  <c r="Q47" i="2"/>
  <c r="P47" i="2"/>
  <c r="AM46" i="2"/>
  <c r="AL46" i="2"/>
  <c r="AK46" i="2"/>
  <c r="AF46" i="2"/>
  <c r="AE46" i="2"/>
  <c r="AD46" i="2"/>
  <c r="AC46" i="2"/>
  <c r="AB46" i="2"/>
  <c r="AA46" i="2"/>
  <c r="Z46" i="2"/>
  <c r="AI46" i="2"/>
  <c r="Y46" i="2"/>
  <c r="X46" i="2"/>
  <c r="AH46" i="2"/>
  <c r="AG46" i="2"/>
  <c r="W46" i="2"/>
  <c r="V46" i="2"/>
  <c r="AJ46" i="2"/>
  <c r="U46" i="2"/>
  <c r="T46" i="2"/>
  <c r="S46" i="2"/>
  <c r="R46" i="2"/>
  <c r="Q46" i="2"/>
  <c r="P46" i="2"/>
  <c r="AM45" i="2"/>
  <c r="AL45" i="2"/>
  <c r="AK45" i="2"/>
  <c r="AF45" i="2"/>
  <c r="AE45" i="2"/>
  <c r="AD45" i="2"/>
  <c r="AC45" i="2"/>
  <c r="AB45" i="2"/>
  <c r="AA45" i="2"/>
  <c r="Z45" i="2"/>
  <c r="AI45" i="2"/>
  <c r="Y45" i="2"/>
  <c r="X45" i="2"/>
  <c r="AH45" i="2"/>
  <c r="AG45" i="2"/>
  <c r="W45" i="2"/>
  <c r="V45" i="2"/>
  <c r="AJ45" i="2"/>
  <c r="U45" i="2"/>
  <c r="T45" i="2"/>
  <c r="S45" i="2"/>
  <c r="R45" i="2"/>
  <c r="Q45" i="2"/>
  <c r="P45" i="2"/>
  <c r="AM44" i="2"/>
  <c r="AL44" i="2"/>
  <c r="AK44" i="2"/>
  <c r="AF44" i="2"/>
  <c r="AE44" i="2"/>
  <c r="AD44" i="2"/>
  <c r="AC44" i="2"/>
  <c r="AB44" i="2"/>
  <c r="AA44" i="2"/>
  <c r="Z44" i="2"/>
  <c r="AI44" i="2"/>
  <c r="Y44" i="2"/>
  <c r="X44" i="2"/>
  <c r="AH44" i="2"/>
  <c r="AG44" i="2"/>
  <c r="W44" i="2"/>
  <c r="V44" i="2"/>
  <c r="AJ44" i="2"/>
  <c r="U44" i="2"/>
  <c r="T44" i="2"/>
  <c r="S44" i="2"/>
  <c r="R44" i="2"/>
  <c r="Q44" i="2"/>
  <c r="P44" i="2"/>
  <c r="AM38" i="2"/>
  <c r="AL38" i="2"/>
  <c r="AK38" i="2"/>
  <c r="AF38" i="2"/>
  <c r="AE38" i="2"/>
  <c r="AD38" i="2"/>
  <c r="AC38" i="2"/>
  <c r="AB38" i="2"/>
  <c r="AA38" i="2"/>
  <c r="Z38" i="2"/>
  <c r="AI38" i="2"/>
  <c r="Y38" i="2"/>
  <c r="X38" i="2"/>
  <c r="AH38" i="2"/>
  <c r="AG38" i="2"/>
  <c r="W38" i="2"/>
  <c r="V38" i="2"/>
  <c r="AJ38" i="2"/>
  <c r="U38" i="2"/>
  <c r="T38" i="2"/>
  <c r="S38" i="2"/>
  <c r="R38" i="2"/>
  <c r="Q38" i="2"/>
  <c r="P38" i="2"/>
  <c r="AM37" i="2"/>
  <c r="AL37" i="2"/>
  <c r="AK37" i="2"/>
  <c r="AF37" i="2"/>
  <c r="AE37" i="2"/>
  <c r="AD37" i="2"/>
  <c r="AC37" i="2"/>
  <c r="AB37" i="2"/>
  <c r="AA37" i="2"/>
  <c r="Z37" i="2"/>
  <c r="AI37" i="2"/>
  <c r="Y37" i="2"/>
  <c r="X37" i="2"/>
  <c r="AH37" i="2"/>
  <c r="AG37" i="2"/>
  <c r="W37" i="2"/>
  <c r="V37" i="2"/>
  <c r="AJ37" i="2"/>
  <c r="U37" i="2"/>
  <c r="T37" i="2"/>
  <c r="S37" i="2"/>
  <c r="R37" i="2"/>
  <c r="Q37" i="2"/>
  <c r="P37" i="2"/>
  <c r="AM36" i="2"/>
  <c r="AL36" i="2"/>
  <c r="AK36" i="2"/>
  <c r="AF36" i="2"/>
  <c r="AE36" i="2"/>
  <c r="AD36" i="2"/>
  <c r="AC36" i="2"/>
  <c r="AB36" i="2"/>
  <c r="AA36" i="2"/>
  <c r="Z36" i="2"/>
  <c r="AI36" i="2"/>
  <c r="Y36" i="2"/>
  <c r="X36" i="2"/>
  <c r="AH36" i="2"/>
  <c r="AG36" i="2"/>
  <c r="W36" i="2"/>
  <c r="V36" i="2"/>
  <c r="AJ36" i="2"/>
  <c r="U36" i="2"/>
  <c r="T36" i="2"/>
  <c r="S36" i="2"/>
  <c r="R36" i="2"/>
  <c r="Q36" i="2"/>
  <c r="P36" i="2"/>
  <c r="AM35" i="2"/>
  <c r="AL35" i="2"/>
  <c r="AK35" i="2"/>
  <c r="AF35" i="2"/>
  <c r="AE35" i="2"/>
  <c r="AD35" i="2"/>
  <c r="AC35" i="2"/>
  <c r="AB35" i="2"/>
  <c r="AA35" i="2"/>
  <c r="Z35" i="2"/>
  <c r="AI35" i="2"/>
  <c r="Y35" i="2"/>
  <c r="X35" i="2"/>
  <c r="AH35" i="2"/>
  <c r="AG35" i="2"/>
  <c r="W35" i="2"/>
  <c r="V35" i="2"/>
  <c r="AJ35" i="2"/>
  <c r="U35" i="2"/>
  <c r="T35" i="2"/>
  <c r="S35" i="2"/>
  <c r="R35" i="2"/>
  <c r="Q35" i="2"/>
  <c r="P35" i="2"/>
  <c r="AM42" i="2"/>
  <c r="AL42" i="2"/>
  <c r="AK42" i="2"/>
  <c r="AF42" i="2"/>
  <c r="AE42" i="2"/>
  <c r="AD42" i="2"/>
  <c r="AC42" i="2"/>
  <c r="AB42" i="2"/>
  <c r="AA42" i="2"/>
  <c r="Z42" i="2"/>
  <c r="AI42" i="2"/>
  <c r="Y42" i="2"/>
  <c r="X42" i="2"/>
  <c r="AH42" i="2"/>
  <c r="AG42" i="2"/>
  <c r="W42" i="2"/>
  <c r="V42" i="2"/>
  <c r="AJ42" i="2"/>
  <c r="U42" i="2"/>
  <c r="T42" i="2"/>
  <c r="S42" i="2"/>
  <c r="R42" i="2"/>
  <c r="Q42" i="2"/>
  <c r="P42" i="2"/>
  <c r="AM41" i="2"/>
  <c r="AL41" i="2"/>
  <c r="AK41" i="2"/>
  <c r="AF41" i="2"/>
  <c r="AE41" i="2"/>
  <c r="AD41" i="2"/>
  <c r="AC41" i="2"/>
  <c r="AB41" i="2"/>
  <c r="AA41" i="2"/>
  <c r="Z41" i="2"/>
  <c r="AI41" i="2"/>
  <c r="Y41" i="2"/>
  <c r="X41" i="2"/>
  <c r="AH41" i="2"/>
  <c r="AG41" i="2"/>
  <c r="W41" i="2"/>
  <c r="V41" i="2"/>
  <c r="AJ41" i="2"/>
  <c r="U41" i="2"/>
  <c r="T41" i="2"/>
  <c r="S41" i="2"/>
  <c r="R41" i="2"/>
  <c r="Q41" i="2"/>
  <c r="P41" i="2"/>
  <c r="AM40" i="2"/>
  <c r="AL40" i="2"/>
  <c r="AK40" i="2"/>
  <c r="AF40" i="2"/>
  <c r="AE40" i="2"/>
  <c r="AD40" i="2"/>
  <c r="AC40" i="2"/>
  <c r="AB40" i="2"/>
  <c r="AA40" i="2"/>
  <c r="Z40" i="2"/>
  <c r="AI40" i="2"/>
  <c r="Y40" i="2"/>
  <c r="X40" i="2"/>
  <c r="AH40" i="2"/>
  <c r="AG40" i="2"/>
  <c r="W40" i="2"/>
  <c r="V40" i="2"/>
  <c r="AJ40" i="2"/>
  <c r="U40" i="2"/>
  <c r="T40" i="2"/>
  <c r="S40" i="2"/>
  <c r="R40" i="2"/>
  <c r="Q40" i="2"/>
  <c r="P40" i="2"/>
  <c r="AM39" i="2"/>
  <c r="AL39" i="2"/>
  <c r="AK39" i="2"/>
  <c r="AF39" i="2"/>
  <c r="AE39" i="2"/>
  <c r="AD39" i="2"/>
  <c r="AC39" i="2"/>
  <c r="AB39" i="2"/>
  <c r="AA39" i="2"/>
  <c r="Z39" i="2"/>
  <c r="AI39" i="2"/>
  <c r="Y39" i="2"/>
  <c r="X39" i="2"/>
  <c r="AH39" i="2"/>
  <c r="AG39" i="2"/>
  <c r="W39" i="2"/>
  <c r="V39" i="2"/>
  <c r="AJ39" i="2"/>
  <c r="U39" i="2"/>
  <c r="T39" i="2"/>
  <c r="S39" i="2"/>
  <c r="R39" i="2"/>
  <c r="Q39" i="2"/>
  <c r="P39" i="2"/>
  <c r="AM34" i="2"/>
  <c r="AL34" i="2"/>
  <c r="AK34" i="2"/>
  <c r="AF34" i="2"/>
  <c r="AE34" i="2"/>
  <c r="AD34" i="2"/>
  <c r="AC34" i="2"/>
  <c r="AB34" i="2"/>
  <c r="AA34" i="2"/>
  <c r="Z34" i="2"/>
  <c r="AI34" i="2"/>
  <c r="Y34" i="2"/>
  <c r="X34" i="2"/>
  <c r="AH34" i="2"/>
  <c r="AG34" i="2"/>
  <c r="W34" i="2"/>
  <c r="V34" i="2"/>
  <c r="AJ34" i="2"/>
  <c r="U34" i="2"/>
  <c r="T34" i="2"/>
  <c r="S34" i="2"/>
  <c r="R34" i="2"/>
  <c r="Q34" i="2"/>
  <c r="P34" i="2"/>
  <c r="AM33" i="2"/>
  <c r="AL33" i="2"/>
  <c r="AK33" i="2"/>
  <c r="AF33" i="2"/>
  <c r="AE33" i="2"/>
  <c r="AD33" i="2"/>
  <c r="AC33" i="2"/>
  <c r="AB33" i="2"/>
  <c r="AA33" i="2"/>
  <c r="Z33" i="2"/>
  <c r="AI33" i="2"/>
  <c r="Y33" i="2"/>
  <c r="X33" i="2"/>
  <c r="AH33" i="2"/>
  <c r="AG33" i="2"/>
  <c r="W33" i="2"/>
  <c r="V33" i="2"/>
  <c r="AJ33" i="2"/>
  <c r="U33" i="2"/>
  <c r="T33" i="2"/>
  <c r="S33" i="2"/>
  <c r="R33" i="2"/>
  <c r="Q33" i="2"/>
  <c r="P33" i="2"/>
  <c r="AM32" i="2"/>
  <c r="AL32" i="2"/>
  <c r="AK32" i="2"/>
  <c r="AF32" i="2"/>
  <c r="AE32" i="2"/>
  <c r="AD32" i="2"/>
  <c r="AC32" i="2"/>
  <c r="AB32" i="2"/>
  <c r="AA32" i="2"/>
  <c r="Z32" i="2"/>
  <c r="AI32" i="2"/>
  <c r="Y32" i="2"/>
  <c r="X32" i="2"/>
  <c r="AH32" i="2"/>
  <c r="AG32" i="2"/>
  <c r="W32" i="2"/>
  <c r="V32" i="2"/>
  <c r="AJ32" i="2"/>
  <c r="U32" i="2"/>
  <c r="T32" i="2"/>
  <c r="S32" i="2"/>
  <c r="R32" i="2"/>
  <c r="Q32" i="2"/>
  <c r="P32" i="2"/>
  <c r="AM31" i="2"/>
  <c r="AL31" i="2"/>
  <c r="AK31" i="2"/>
  <c r="AF31" i="2"/>
  <c r="AE31" i="2"/>
  <c r="AD31" i="2"/>
  <c r="AC31" i="2"/>
  <c r="AB31" i="2"/>
  <c r="AA31" i="2"/>
  <c r="Z31" i="2"/>
  <c r="AI31" i="2"/>
  <c r="Y31" i="2"/>
  <c r="X31" i="2"/>
  <c r="AH31" i="2"/>
  <c r="AG31" i="2"/>
  <c r="W31" i="2"/>
  <c r="V31" i="2"/>
  <c r="AJ31" i="2"/>
  <c r="U31" i="2"/>
  <c r="T31" i="2"/>
  <c r="S31" i="2"/>
  <c r="R31" i="2"/>
  <c r="Q31" i="2"/>
  <c r="P31" i="2"/>
  <c r="AM30" i="2"/>
  <c r="AL30" i="2"/>
  <c r="AK30" i="2"/>
  <c r="AF30" i="2"/>
  <c r="AE30" i="2"/>
  <c r="AD30" i="2"/>
  <c r="AC30" i="2"/>
  <c r="AB30" i="2"/>
  <c r="AA30" i="2"/>
  <c r="Z30" i="2"/>
  <c r="AI30" i="2"/>
  <c r="Y30" i="2"/>
  <c r="X30" i="2"/>
  <c r="AH30" i="2"/>
  <c r="AG30" i="2"/>
  <c r="W30" i="2"/>
  <c r="V30" i="2"/>
  <c r="AJ30" i="2"/>
  <c r="U30" i="2"/>
  <c r="T30" i="2"/>
  <c r="S30" i="2"/>
  <c r="R30" i="2"/>
  <c r="Q30" i="2"/>
  <c r="P30" i="2"/>
  <c r="AM29" i="2"/>
  <c r="AL29" i="2"/>
  <c r="AK29" i="2"/>
  <c r="AF29" i="2"/>
  <c r="AE29" i="2"/>
  <c r="AD29" i="2"/>
  <c r="AC29" i="2"/>
  <c r="AB29" i="2"/>
  <c r="AA29" i="2"/>
  <c r="Z29" i="2"/>
  <c r="AI29" i="2"/>
  <c r="Y29" i="2"/>
  <c r="X29" i="2"/>
  <c r="AH29" i="2"/>
  <c r="AG29" i="2"/>
  <c r="W29" i="2"/>
  <c r="V29" i="2"/>
  <c r="AJ29" i="2"/>
  <c r="U29" i="2"/>
  <c r="T29" i="2"/>
  <c r="S29" i="2"/>
  <c r="R29" i="2"/>
  <c r="Q29" i="2"/>
  <c r="P29" i="2"/>
  <c r="AM28" i="2"/>
  <c r="AL28" i="2"/>
  <c r="AK28" i="2"/>
  <c r="AF28" i="2"/>
  <c r="AE28" i="2"/>
  <c r="AD28" i="2"/>
  <c r="AC28" i="2"/>
  <c r="AB28" i="2"/>
  <c r="AA28" i="2"/>
  <c r="Z28" i="2"/>
  <c r="AI28" i="2"/>
  <c r="Y28" i="2"/>
  <c r="X28" i="2"/>
  <c r="AH28" i="2"/>
  <c r="AG28" i="2"/>
  <c r="W28" i="2"/>
  <c r="V28" i="2"/>
  <c r="AJ28" i="2"/>
  <c r="U28" i="2"/>
  <c r="T28" i="2"/>
  <c r="S28" i="2"/>
  <c r="R28" i="2"/>
  <c r="Q28" i="2"/>
  <c r="P28" i="2"/>
  <c r="AM27" i="2"/>
  <c r="AL27" i="2"/>
  <c r="AK27" i="2"/>
  <c r="AF27" i="2"/>
  <c r="AE27" i="2"/>
  <c r="AD27" i="2"/>
  <c r="AC27" i="2"/>
  <c r="AB27" i="2"/>
  <c r="AA27" i="2"/>
  <c r="Z27" i="2"/>
  <c r="AI27" i="2"/>
  <c r="Y27" i="2"/>
  <c r="X27" i="2"/>
  <c r="AH27" i="2"/>
  <c r="AG27" i="2"/>
  <c r="W27" i="2"/>
  <c r="V27" i="2"/>
  <c r="AJ27" i="2"/>
  <c r="U27" i="2"/>
  <c r="T27" i="2"/>
  <c r="S27" i="2"/>
  <c r="R27" i="2"/>
  <c r="Q27" i="2"/>
  <c r="P27" i="2"/>
  <c r="AM26" i="2"/>
  <c r="AL26" i="2"/>
  <c r="AK26" i="2"/>
  <c r="AF26" i="2"/>
  <c r="AE26" i="2"/>
  <c r="AD26" i="2"/>
  <c r="AC26" i="2"/>
  <c r="AB26" i="2"/>
  <c r="AA26" i="2"/>
  <c r="Z26" i="2"/>
  <c r="AI26" i="2"/>
  <c r="Y26" i="2"/>
  <c r="X26" i="2"/>
  <c r="AH26" i="2"/>
  <c r="AG26" i="2"/>
  <c r="W26" i="2"/>
  <c r="V26" i="2"/>
  <c r="AJ26" i="2"/>
  <c r="U26" i="2"/>
  <c r="T26" i="2"/>
  <c r="S26" i="2"/>
  <c r="R26" i="2"/>
  <c r="Q26" i="2"/>
  <c r="P26" i="2"/>
  <c r="AM25" i="2"/>
  <c r="AL25" i="2"/>
  <c r="AK25" i="2"/>
  <c r="AF25" i="2"/>
  <c r="AE25" i="2"/>
  <c r="AD25" i="2"/>
  <c r="AC25" i="2"/>
  <c r="AB25" i="2"/>
  <c r="AA25" i="2"/>
  <c r="Z25" i="2"/>
  <c r="AI25" i="2"/>
  <c r="Y25" i="2"/>
  <c r="X25" i="2"/>
  <c r="AH25" i="2"/>
  <c r="AG25" i="2"/>
  <c r="W25" i="2"/>
  <c r="V25" i="2"/>
  <c r="AJ25" i="2"/>
  <c r="U25" i="2"/>
  <c r="T25" i="2"/>
  <c r="S25" i="2"/>
  <c r="R25" i="2"/>
  <c r="Q25" i="2"/>
  <c r="P25" i="2"/>
  <c r="AM24" i="2"/>
  <c r="AL24" i="2"/>
  <c r="AK24" i="2"/>
  <c r="AF24" i="2"/>
  <c r="AE24" i="2"/>
  <c r="AD24" i="2"/>
  <c r="AC24" i="2"/>
  <c r="AB24" i="2"/>
  <c r="AA24" i="2"/>
  <c r="Z24" i="2"/>
  <c r="AI24" i="2"/>
  <c r="Y24" i="2"/>
  <c r="X24" i="2"/>
  <c r="AH24" i="2"/>
  <c r="AG24" i="2"/>
  <c r="W24" i="2"/>
  <c r="V24" i="2"/>
  <c r="AJ24" i="2"/>
  <c r="U24" i="2"/>
  <c r="T24" i="2"/>
  <c r="S24" i="2"/>
  <c r="R24" i="2"/>
  <c r="Q24" i="2"/>
  <c r="P24" i="2"/>
  <c r="AM23" i="2"/>
  <c r="AL23" i="2"/>
  <c r="AK23" i="2"/>
  <c r="AF23" i="2"/>
  <c r="AE23" i="2"/>
  <c r="AD23" i="2"/>
  <c r="AC23" i="2"/>
  <c r="AB23" i="2"/>
  <c r="AA23" i="2"/>
  <c r="Z23" i="2"/>
  <c r="AI23" i="2"/>
  <c r="Y23" i="2"/>
  <c r="X23" i="2"/>
  <c r="AH23" i="2"/>
  <c r="AG23" i="2"/>
  <c r="W23" i="2"/>
  <c r="V23" i="2"/>
  <c r="AJ23" i="2"/>
  <c r="U23" i="2"/>
  <c r="T23" i="2"/>
  <c r="S23" i="2"/>
  <c r="R23" i="2"/>
  <c r="Q23" i="2"/>
  <c r="P23" i="2"/>
  <c r="AM22" i="2"/>
  <c r="AL22" i="2"/>
  <c r="AK22" i="2"/>
  <c r="AF22" i="2"/>
  <c r="AE22" i="2"/>
  <c r="AD22" i="2"/>
  <c r="AC22" i="2"/>
  <c r="AB22" i="2"/>
  <c r="AA22" i="2"/>
  <c r="Z22" i="2"/>
  <c r="AI22" i="2"/>
  <c r="Y22" i="2"/>
  <c r="X22" i="2"/>
  <c r="AH22" i="2"/>
  <c r="AG22" i="2"/>
  <c r="W22" i="2"/>
  <c r="V22" i="2"/>
  <c r="AJ22" i="2"/>
  <c r="U22" i="2"/>
  <c r="T22" i="2"/>
  <c r="S22" i="2"/>
  <c r="R22" i="2"/>
  <c r="Q22" i="2"/>
  <c r="P22" i="2"/>
  <c r="AM21" i="2"/>
  <c r="AL21" i="2"/>
  <c r="AK21" i="2"/>
  <c r="AF21" i="2"/>
  <c r="AE21" i="2"/>
  <c r="AD21" i="2"/>
  <c r="AC21" i="2"/>
  <c r="AB21" i="2"/>
  <c r="AA21" i="2"/>
  <c r="Z21" i="2"/>
  <c r="AI21" i="2"/>
  <c r="Y21" i="2"/>
  <c r="X21" i="2"/>
  <c r="AH21" i="2"/>
  <c r="AG21" i="2"/>
  <c r="W21" i="2"/>
  <c r="V21" i="2"/>
  <c r="AJ21" i="2"/>
  <c r="U21" i="2"/>
  <c r="T21" i="2"/>
  <c r="S21" i="2"/>
  <c r="R21" i="2"/>
  <c r="Q21" i="2"/>
  <c r="P21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L3" i="2"/>
  <c r="O3" i="2"/>
  <c r="O21" i="2"/>
  <c r="O22" i="2"/>
  <c r="O23" i="2"/>
  <c r="O24" i="2"/>
  <c r="O25" i="2"/>
  <c r="O26" i="2"/>
  <c r="O27" i="2"/>
  <c r="O28" i="2"/>
  <c r="O49" i="2"/>
  <c r="O48" i="2"/>
  <c r="O47" i="2"/>
  <c r="O46" i="2"/>
  <c r="O45" i="2"/>
  <c r="O44" i="2"/>
  <c r="O38" i="2"/>
  <c r="O37" i="2"/>
  <c r="O36" i="2"/>
  <c r="O35" i="2"/>
  <c r="O42" i="2"/>
  <c r="O41" i="2"/>
  <c r="O40" i="2"/>
  <c r="O39" i="2"/>
  <c r="O34" i="2"/>
  <c r="O33" i="2"/>
  <c r="O32" i="2"/>
  <c r="O31" i="2"/>
  <c r="O30" i="2"/>
  <c r="O29" i="2"/>
  <c r="M51" i="2" l="1"/>
  <c r="M52" i="2"/>
  <c r="M53" i="2"/>
  <c r="M54" i="2"/>
  <c r="M55" i="2"/>
  <c r="M57" i="2"/>
  <c r="M58" i="2"/>
  <c r="M60" i="2"/>
  <c r="M63" i="2"/>
  <c r="M64" i="2"/>
  <c r="M68" i="2"/>
  <c r="M69" i="2"/>
  <c r="M70" i="2"/>
  <c r="M71" i="2"/>
  <c r="M74" i="2"/>
  <c r="M75" i="2"/>
  <c r="M77" i="2"/>
  <c r="M79" i="2"/>
  <c r="M78" i="2"/>
  <c r="M76" i="2"/>
  <c r="M62" i="2"/>
  <c r="M67" i="2"/>
  <c r="M72" i="2"/>
  <c r="M59" i="2"/>
  <c r="M66" i="2"/>
  <c r="M56" i="2"/>
  <c r="M73" i="2"/>
  <c r="M65" i="2"/>
  <c r="M61" i="2"/>
  <c r="AD80" i="2"/>
  <c r="AH50" i="2"/>
  <c r="M17" i="2"/>
  <c r="Y20" i="2"/>
  <c r="M18" i="2"/>
  <c r="Q20" i="2"/>
  <c r="AG20" i="2"/>
  <c r="AC20" i="2"/>
  <c r="AK20" i="2"/>
  <c r="AH20" i="2"/>
  <c r="AL20" i="2"/>
  <c r="S20" i="2"/>
  <c r="AE20" i="2"/>
  <c r="AM20" i="2"/>
  <c r="W20" i="2"/>
  <c r="V20" i="2"/>
  <c r="P20" i="2"/>
  <c r="M19" i="2"/>
  <c r="AA20" i="2"/>
  <c r="R20" i="2"/>
  <c r="AJ20" i="2"/>
  <c r="Z20" i="2"/>
  <c r="AD20" i="2"/>
  <c r="AF20" i="2"/>
  <c r="T50" i="2"/>
  <c r="X20" i="2"/>
  <c r="P50" i="2"/>
  <c r="AJ50" i="2"/>
  <c r="C23" i="12"/>
  <c r="E23" i="12"/>
  <c r="R50" i="2"/>
  <c r="AL50" i="2"/>
  <c r="AK50" i="2"/>
  <c r="AM50" i="2"/>
  <c r="AA50" i="2"/>
  <c r="AG50" i="2"/>
  <c r="AB50" i="2"/>
  <c r="AD50" i="2"/>
  <c r="Z50" i="2"/>
  <c r="R80" i="2"/>
  <c r="AI50" i="2"/>
  <c r="AC50" i="2"/>
  <c r="AE50" i="2"/>
  <c r="X50" i="2"/>
  <c r="Q50" i="2"/>
  <c r="Y50" i="2"/>
  <c r="V50" i="2"/>
  <c r="S50" i="2"/>
  <c r="W50" i="2"/>
  <c r="AF50" i="2"/>
  <c r="AJ80" i="2"/>
  <c r="AH80" i="2"/>
  <c r="Z80" i="2"/>
  <c r="AL80" i="2"/>
  <c r="N80" i="2"/>
  <c r="O80" i="2"/>
  <c r="S80" i="2"/>
  <c r="V80" i="2"/>
  <c r="X80" i="2"/>
  <c r="AA80" i="2"/>
  <c r="AE80" i="2"/>
  <c r="AM80" i="2"/>
  <c r="P80" i="2"/>
  <c r="T80" i="2"/>
  <c r="W80" i="2"/>
  <c r="Y80" i="2"/>
  <c r="AB80" i="2"/>
  <c r="AF80" i="2"/>
  <c r="U80" i="2"/>
  <c r="AG80" i="2"/>
  <c r="AI80" i="2"/>
  <c r="AC80" i="2"/>
  <c r="AK80" i="2"/>
  <c r="AK2" i="2" s="1"/>
  <c r="Q80" i="2"/>
  <c r="AB20" i="2"/>
  <c r="T20" i="2"/>
  <c r="U50" i="2"/>
  <c r="U20" i="2"/>
  <c r="O20" i="2"/>
  <c r="J50" i="2"/>
  <c r="N49" i="2"/>
  <c r="M49" i="2" s="1"/>
  <c r="N48" i="2"/>
  <c r="M48" i="2" s="1"/>
  <c r="N47" i="2"/>
  <c r="M47" i="2" s="1"/>
  <c r="N46" i="2"/>
  <c r="M46" i="2" s="1"/>
  <c r="N45" i="2"/>
  <c r="M45" i="2" s="1"/>
  <c r="N44" i="2"/>
  <c r="M44" i="2" s="1"/>
  <c r="N38" i="2"/>
  <c r="M38" i="2" s="1"/>
  <c r="N37" i="2"/>
  <c r="M37" i="2" s="1"/>
  <c r="N36" i="2"/>
  <c r="M36" i="2" s="1"/>
  <c r="N35" i="2"/>
  <c r="M35" i="2" s="1"/>
  <c r="N42" i="2"/>
  <c r="M42" i="2" s="1"/>
  <c r="N41" i="2"/>
  <c r="M41" i="2" s="1"/>
  <c r="N40" i="2"/>
  <c r="M40" i="2" s="1"/>
  <c r="N39" i="2"/>
  <c r="M39" i="2" s="1"/>
  <c r="N34" i="2"/>
  <c r="M34" i="2" s="1"/>
  <c r="N33" i="2"/>
  <c r="M33" i="2" s="1"/>
  <c r="N32" i="2"/>
  <c r="M32" i="2" s="1"/>
  <c r="N31" i="2"/>
  <c r="M31" i="2" s="1"/>
  <c r="N30" i="2"/>
  <c r="M30" i="2" s="1"/>
  <c r="N29" i="2"/>
  <c r="M29" i="2" s="1"/>
  <c r="N28" i="2"/>
  <c r="M28" i="2" s="1"/>
  <c r="N27" i="2"/>
  <c r="M27" i="2" s="1"/>
  <c r="N26" i="2"/>
  <c r="M26" i="2" s="1"/>
  <c r="N25" i="2"/>
  <c r="M25" i="2" s="1"/>
  <c r="N24" i="2"/>
  <c r="M24" i="2" s="1"/>
  <c r="N23" i="2"/>
  <c r="M23" i="2" s="1"/>
  <c r="N22" i="2"/>
  <c r="M22" i="2" s="1"/>
  <c r="N21" i="2"/>
  <c r="M21" i="2" s="1"/>
  <c r="M16" i="2"/>
  <c r="M15" i="2"/>
  <c r="M14" i="2"/>
  <c r="M13" i="2"/>
  <c r="M12" i="2"/>
  <c r="M11" i="2"/>
  <c r="M10" i="2"/>
  <c r="M9" i="2"/>
  <c r="M8" i="2"/>
  <c r="M7" i="2"/>
  <c r="M6" i="2"/>
  <c r="M5" i="2"/>
  <c r="M4" i="2"/>
  <c r="L20" i="2"/>
  <c r="L50" i="2"/>
  <c r="L49" i="2"/>
  <c r="L48" i="2"/>
  <c r="L47" i="2"/>
  <c r="L46" i="2"/>
  <c r="L45" i="2"/>
  <c r="L44" i="2"/>
  <c r="L38" i="2"/>
  <c r="L37" i="2"/>
  <c r="L36" i="2"/>
  <c r="L35" i="2"/>
  <c r="L42" i="2"/>
  <c r="L41" i="2"/>
  <c r="L40" i="2"/>
  <c r="L39" i="2"/>
  <c r="L34" i="2"/>
  <c r="L33" i="2"/>
  <c r="L32" i="2"/>
  <c r="L31" i="2"/>
  <c r="L30" i="2"/>
  <c r="L29" i="2"/>
  <c r="L28" i="2"/>
  <c r="L27" i="2"/>
  <c r="L26" i="2"/>
  <c r="L25" i="2"/>
  <c r="L24" i="2"/>
  <c r="L22" i="2"/>
  <c r="L21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23" i="2"/>
  <c r="K49" i="2"/>
  <c r="K48" i="2"/>
  <c r="K47" i="2"/>
  <c r="K46" i="2"/>
  <c r="K45" i="2"/>
  <c r="K44" i="2"/>
  <c r="K38" i="2"/>
  <c r="K37" i="2"/>
  <c r="K36" i="2"/>
  <c r="K35" i="2"/>
  <c r="K42" i="2"/>
  <c r="K41" i="2"/>
  <c r="K40" i="2"/>
  <c r="K39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AH2" i="2" l="1"/>
  <c r="AL2" i="2"/>
  <c r="AD2" i="2"/>
  <c r="T2" i="2"/>
  <c r="AJ2" i="2"/>
  <c r="P2" i="2"/>
  <c r="R2" i="2"/>
  <c r="AM2" i="2"/>
  <c r="AA2" i="2"/>
  <c r="AG2" i="2"/>
  <c r="AB2" i="2"/>
  <c r="Z2" i="2"/>
  <c r="AC2" i="2"/>
  <c r="AE2" i="2"/>
  <c r="W2" i="2"/>
  <c r="Q2" i="2"/>
  <c r="AI2" i="2"/>
  <c r="S2" i="2"/>
  <c r="X2" i="2"/>
  <c r="V2" i="2"/>
  <c r="AF2" i="2"/>
  <c r="U2" i="2"/>
  <c r="Y2" i="2"/>
  <c r="M3" i="2"/>
  <c r="AN80" i="2"/>
  <c r="M80" i="2"/>
  <c r="O50" i="2"/>
  <c r="O2" i="2" s="1"/>
  <c r="N50" i="2"/>
  <c r="N20" i="2"/>
  <c r="AN20" i="2" s="1"/>
  <c r="N2" i="2" l="1"/>
  <c r="AN2" i="2" s="1"/>
  <c r="AN50" i="2"/>
  <c r="M50" i="2"/>
  <c r="M20" i="2"/>
  <c r="M2" i="2" l="1"/>
</calcChain>
</file>

<file path=xl/sharedStrings.xml><?xml version="1.0" encoding="utf-8"?>
<sst xmlns="http://schemas.openxmlformats.org/spreadsheetml/2006/main" count="1000" uniqueCount="212">
  <si>
    <t>Date</t>
  </si>
  <si>
    <t>Start Time</t>
  </si>
  <si>
    <t>Field</t>
  </si>
  <si>
    <t>Div</t>
  </si>
  <si>
    <t>Plate</t>
  </si>
  <si>
    <t>Bases</t>
  </si>
  <si>
    <t>Bill Marshall</t>
  </si>
  <si>
    <t>Dan DeCarlo</t>
  </si>
  <si>
    <t>Ryan Shoyer</t>
  </si>
  <si>
    <t>Andrew Vega</t>
  </si>
  <si>
    <t>Ben Orduno</t>
  </si>
  <si>
    <t>Sean Pettway</t>
  </si>
  <si>
    <t>Joey Buchanan</t>
  </si>
  <si>
    <t>Gabe Opp</t>
  </si>
  <si>
    <t>Dave Hardy</t>
  </si>
  <si>
    <t>Minor A</t>
  </si>
  <si>
    <t>Minor B</t>
  </si>
  <si>
    <t>Farm</t>
  </si>
  <si>
    <t>BillM</t>
  </si>
  <si>
    <t>SeanP</t>
  </si>
  <si>
    <t>BenO</t>
  </si>
  <si>
    <t>TomN</t>
  </si>
  <si>
    <t>RyanS</t>
  </si>
  <si>
    <t>GabeO</t>
  </si>
  <si>
    <t>DanD</t>
  </si>
  <si>
    <t>WD</t>
  </si>
  <si>
    <t>Week Dates</t>
  </si>
  <si>
    <t>Wk</t>
  </si>
  <si>
    <t>Serg</t>
  </si>
  <si>
    <t>Home</t>
  </si>
  <si>
    <t>Away</t>
  </si>
  <si>
    <t>Assign</t>
  </si>
  <si>
    <t>Sergio Flores</t>
  </si>
  <si>
    <t>All</t>
  </si>
  <si>
    <t>Juniors</t>
  </si>
  <si>
    <t>Rain</t>
  </si>
  <si>
    <t>Dylan Stubblebine</t>
  </si>
  <si>
    <t>Nathaniel Parris</t>
  </si>
  <si>
    <t>Sunglasses</t>
  </si>
  <si>
    <t>Pitchers can wear sunglasses but umpire can remove them if need be (Glare or too bulky)</t>
  </si>
  <si>
    <t>Pitchers can not wear on the bill of their cap</t>
  </si>
  <si>
    <t>Sleeves for Pitchers</t>
  </si>
  <si>
    <t>Can not be White or Light Grey (Long sleeve undershirt must be removed)</t>
  </si>
  <si>
    <t>Can not have 1 sleeve on pitching arm only (Color does not matter)</t>
  </si>
  <si>
    <t>Batter Interference</t>
  </si>
  <si>
    <t xml:space="preserve">With runners on 1B or 2B batter can not obstruct if they stay in the Box </t>
  </si>
  <si>
    <t>Batter Hit by Pitch</t>
  </si>
  <si>
    <t>If batter is hit by a pitch and he does NOT swing at the pitched ball he is awarded 1B (Even if pitch bounces)</t>
  </si>
  <si>
    <t xml:space="preserve">     The batter is not permitted to lean ito the pitched ball (Umpires discretion)</t>
  </si>
  <si>
    <t>If the batter is hit on the hands while holding the bat, that is also awarded 1B</t>
  </si>
  <si>
    <t>If batter is hit by a pitch (On hands or elesewhere) and batter swings at the pitch that is a strike</t>
  </si>
  <si>
    <t xml:space="preserve">     Even if the ball goes into fair ground</t>
  </si>
  <si>
    <t xml:space="preserve">     Almost have to assist the pitcher with first strike … Tighter on 3rd Strike</t>
  </si>
  <si>
    <t>Minor B Recommendations</t>
  </si>
  <si>
    <t>Wide Strike Zone (Inside the Lines), (Chin to Shin)</t>
  </si>
  <si>
    <t>Need to get Outs … If fielders make plays (Tie goes to the fielder)</t>
  </si>
  <si>
    <t>Need to get Outs … Runner does not slide (If its close he's OUT)</t>
  </si>
  <si>
    <t>Strikes are important, Outs are Imperitive, When in Doubt…Call an Out</t>
  </si>
  <si>
    <t>Never Turn your back to the field unless you call Time</t>
  </si>
  <si>
    <t>Hustle Hustle Hustle</t>
  </si>
  <si>
    <t xml:space="preserve">     Its hard to get pissed at an ump that works to get in position</t>
  </si>
  <si>
    <t xml:space="preserve">     He got under the tag, He got him on the shoulder, He missed the bag</t>
  </si>
  <si>
    <t>When Catcher has ball (runner on 3B) encourage to get ball to the mound and call T.O.</t>
  </si>
  <si>
    <r>
      <t xml:space="preserve">Try to make calls from the </t>
    </r>
    <r>
      <rPr>
        <b/>
        <sz val="11"/>
        <color rgb="FF000000"/>
        <rFont val="Calibri"/>
        <family val="2"/>
      </rPr>
      <t>Work Area</t>
    </r>
    <r>
      <rPr>
        <sz val="11"/>
        <color rgb="FF000000"/>
        <rFont val="Calibri"/>
        <family val="2"/>
      </rPr>
      <t xml:space="preserve"> in Front of the Plate (</t>
    </r>
    <r>
      <rPr>
        <sz val="11"/>
        <color rgb="FFFF0000"/>
        <rFont val="Calibri"/>
        <family val="2"/>
      </rPr>
      <t>Get your ass out there</t>
    </r>
    <r>
      <rPr>
        <sz val="11"/>
        <color rgb="FF000000"/>
        <rFont val="Calibri"/>
        <family val="2"/>
      </rPr>
      <t>)</t>
    </r>
  </si>
  <si>
    <t>Fair and Fould balls down line … Be Loud and point</t>
  </si>
  <si>
    <t>Take off your Mask</t>
  </si>
  <si>
    <r>
      <t xml:space="preserve">If you are calling someone safe or out and its close </t>
    </r>
    <r>
      <rPr>
        <b/>
        <sz val="11"/>
        <color rgb="FF000000"/>
        <rFont val="Calibri"/>
        <family val="2"/>
      </rPr>
      <t>be demonstrative</t>
    </r>
  </si>
  <si>
    <t>Batting out of Order</t>
  </si>
  <si>
    <t>If batter comes to the plate and they realize that its wrong batter…Put correct batter in and he assumes Count</t>
  </si>
  <si>
    <t xml:space="preserve">     The batter that is on base is out</t>
  </si>
  <si>
    <t xml:space="preserve">With runner on 3B the batter must vacate the box on a passed ball and make sure that they are </t>
  </si>
  <si>
    <t>NOT in the way of the catcher or pitcher at home plate during a play at the plate</t>
  </si>
  <si>
    <t>If batter gets on base and they realize it’s the wrong batter before next batter completes his AB</t>
  </si>
  <si>
    <t>Adrian</t>
  </si>
  <si>
    <t>Dylan</t>
  </si>
  <si>
    <t>EricO</t>
  </si>
  <si>
    <t>Nico Thiem</t>
  </si>
  <si>
    <t>Joshue</t>
  </si>
  <si>
    <t>Infeld Fly's (YES)</t>
  </si>
  <si>
    <t>Infeld Fly's (NO)</t>
  </si>
  <si>
    <t>1:45 No new inning</t>
  </si>
  <si>
    <t>2:00 No new inning</t>
  </si>
  <si>
    <t>Game starts at the conclussion on the Manager's meeting</t>
  </si>
  <si>
    <t>9 Year Old Pitching … That can record 9 outs and no more</t>
  </si>
  <si>
    <t>Player shows up late just add them into the lineup in the last position</t>
  </si>
  <si>
    <t>No Outs recorded for a late player or someone that leaves early</t>
  </si>
  <si>
    <t>tMinorA</t>
  </si>
  <si>
    <t>tMinorB</t>
  </si>
  <si>
    <t>All Stars</t>
  </si>
  <si>
    <t>TM 05</t>
  </si>
  <si>
    <t>TM 10</t>
  </si>
  <si>
    <t>Feb 20-Feb 22</t>
  </si>
  <si>
    <t>TM 01</t>
  </si>
  <si>
    <t>TM 04</t>
  </si>
  <si>
    <t>TM 02</t>
  </si>
  <si>
    <t>TM 07</t>
  </si>
  <si>
    <t>TM 03</t>
  </si>
  <si>
    <t>TM 06</t>
  </si>
  <si>
    <t>TM 09</t>
  </si>
  <si>
    <t>TM 08</t>
  </si>
  <si>
    <t>TM 12</t>
  </si>
  <si>
    <t>TM 11</t>
  </si>
  <si>
    <t>Albert</t>
  </si>
  <si>
    <t>JoeAnd</t>
  </si>
  <si>
    <t>Andres</t>
  </si>
  <si>
    <t>BillC</t>
  </si>
  <si>
    <t>NateP</t>
  </si>
  <si>
    <t>PrathP</t>
  </si>
  <si>
    <t>WolfG</t>
  </si>
  <si>
    <t>NicoT</t>
  </si>
  <si>
    <t>DiegR</t>
  </si>
  <si>
    <t>RSanch</t>
  </si>
  <si>
    <t>DaveH</t>
  </si>
  <si>
    <t>Feb 23-Mar 1</t>
  </si>
  <si>
    <t>Season Totals…</t>
  </si>
  <si>
    <t>Mar 2-Mar 8</t>
  </si>
  <si>
    <t>Time</t>
  </si>
  <si>
    <t>Totals</t>
  </si>
  <si>
    <t xml:space="preserve">     If runner is stealing and batter comes out of the box it is interference if he hinders a Throw or Attempted Throw</t>
  </si>
  <si>
    <t xml:space="preserve">     It is interference if he hinders the play at the plate - The Batter is Out and the runner goes back to 3B</t>
  </si>
  <si>
    <t>Introduce Yourself</t>
  </si>
  <si>
    <t>Time Limits</t>
  </si>
  <si>
    <t>Basic Discussion</t>
  </si>
  <si>
    <t>New Rules</t>
  </si>
  <si>
    <t>If you need to discuss something I will talk to MGR ONLY and you must first call TO</t>
  </si>
  <si>
    <r>
      <rPr>
        <b/>
        <sz val="10"/>
        <color rgb="FF000000"/>
        <rFont val="Aptos Narrow"/>
        <family val="2"/>
      </rPr>
      <t>On Offense</t>
    </r>
    <r>
      <rPr>
        <sz val="10"/>
        <color rgb="FF000000"/>
        <rFont val="Aptos Narrow"/>
        <family val="2"/>
      </rPr>
      <t xml:space="preserve"> there will be 2 Coaches (1B and 3B) on the field - Keep Gate closed</t>
    </r>
  </si>
  <si>
    <r>
      <rPr>
        <b/>
        <sz val="10"/>
        <color rgb="FF000000"/>
        <rFont val="Aptos Narrow"/>
        <family val="2"/>
      </rPr>
      <t>Survey the field</t>
    </r>
    <r>
      <rPr>
        <sz val="10"/>
        <color rgb="FF000000"/>
        <rFont val="Aptos Narrow"/>
        <family val="2"/>
      </rPr>
      <t xml:space="preserve"> and discuss any</t>
    </r>
    <r>
      <rPr>
        <b/>
        <sz val="10"/>
        <color rgb="FF000000"/>
        <rFont val="Aptos Narrow"/>
        <family val="2"/>
      </rPr>
      <t xml:space="preserve"> groudrules</t>
    </r>
    <r>
      <rPr>
        <sz val="10"/>
        <color rgb="FF000000"/>
        <rFont val="Aptos Narrow"/>
        <family val="2"/>
      </rPr>
      <t xml:space="preserve"> (Ball under fence, L-Screens)</t>
    </r>
  </si>
  <si>
    <r>
      <t xml:space="preserve">Are all </t>
    </r>
    <r>
      <rPr>
        <b/>
        <sz val="10"/>
        <color rgb="FF000000"/>
        <rFont val="Aptos Narrow"/>
        <family val="2"/>
      </rPr>
      <t>players legally equipped</t>
    </r>
    <r>
      <rPr>
        <sz val="10"/>
        <color rgb="FF000000"/>
        <rFont val="Aptos Narrow"/>
        <family val="2"/>
      </rPr>
      <t xml:space="preserve"> for safety purposes and is all </t>
    </r>
    <r>
      <rPr>
        <b/>
        <sz val="10"/>
        <color rgb="FF000000"/>
        <rFont val="Aptos Narrow"/>
        <family val="2"/>
      </rPr>
      <t>equipment legal</t>
    </r>
    <r>
      <rPr>
        <sz val="10"/>
        <color rgb="FF000000"/>
        <rFont val="Aptos Narrow"/>
        <family val="2"/>
      </rPr>
      <t xml:space="preserve"> </t>
    </r>
    <r>
      <rPr>
        <b/>
        <sz val="10"/>
        <color rgb="FFFF0000"/>
        <rFont val="Aptos Narrow"/>
        <family val="2"/>
      </rPr>
      <t>(Get a YES)</t>
    </r>
  </si>
  <si>
    <r>
      <rPr>
        <b/>
        <sz val="10"/>
        <color rgb="FF000000"/>
        <rFont val="Aptos Narrow"/>
        <family val="2"/>
      </rPr>
      <t>On Defense</t>
    </r>
    <r>
      <rPr>
        <sz val="10"/>
        <color rgb="FF000000"/>
        <rFont val="Aptos Narrow"/>
        <family val="2"/>
      </rPr>
      <t xml:space="preserve"> 1 Coach in Gate Area he can sit on Bucket - Gate can be open (No Players)</t>
    </r>
  </si>
  <si>
    <r>
      <rPr>
        <b/>
        <sz val="10"/>
        <color rgb="FF000000"/>
        <rFont val="Aptos Narrow"/>
        <family val="2"/>
      </rPr>
      <t>Always keep a catcher ready</t>
    </r>
    <r>
      <rPr>
        <sz val="10"/>
        <color rgb="FF000000"/>
        <rFont val="Aptos Narrow"/>
        <family val="2"/>
      </rPr>
      <t xml:space="preserve"> for the upcoming inning (last player out Runs for C and P with 2 outs)</t>
    </r>
  </si>
  <si>
    <r>
      <rPr>
        <b/>
        <sz val="10"/>
        <color rgb="FF000000"/>
        <rFont val="Aptos Narrow"/>
        <family val="2"/>
      </rPr>
      <t>Orange Base</t>
    </r>
    <r>
      <rPr>
        <sz val="10"/>
        <color rgb="FF000000"/>
        <rFont val="Aptos Narrow"/>
        <family val="2"/>
      </rPr>
      <t xml:space="preserve"> is to be used at all times for a play at 1B, If runner steps on white base they will be called out if the 1st baseman catches the ball</t>
    </r>
  </si>
  <si>
    <t>Runner must return to White Bag and 1st baseman must allow him to do so.  If runner steps on Orange bag first the runner can be tagged out.</t>
  </si>
  <si>
    <r>
      <rPr>
        <b/>
        <sz val="10"/>
        <color rgb="FF000000"/>
        <rFont val="Aptos Narrow"/>
        <family val="2"/>
      </rPr>
      <t>Minor A and Minor B</t>
    </r>
    <r>
      <rPr>
        <sz val="10"/>
        <color rgb="FF000000"/>
        <rFont val="Aptos Narrow"/>
        <family val="2"/>
      </rPr>
      <t xml:space="preserve"> - 1:45 No New Inning - 2 Hr drop dead</t>
    </r>
  </si>
  <si>
    <r>
      <rPr>
        <b/>
        <sz val="10"/>
        <color rgb="FF000000"/>
        <rFont val="Aptos Narrow"/>
        <family val="2"/>
      </rPr>
      <t>Majors</t>
    </r>
    <r>
      <rPr>
        <sz val="10"/>
        <color rgb="FF000000"/>
        <rFont val="Aptos Narrow"/>
        <family val="2"/>
      </rPr>
      <t xml:space="preserve"> - Play 6 innings No Tme Limit</t>
    </r>
  </si>
  <si>
    <r>
      <rPr>
        <b/>
        <sz val="10"/>
        <color rgb="FF000000"/>
        <rFont val="Aptos Narrow"/>
        <family val="2"/>
      </rPr>
      <t>Farm</t>
    </r>
    <r>
      <rPr>
        <sz val="10"/>
        <color rgb="FF000000"/>
        <rFont val="Aptos Narrow"/>
        <family val="2"/>
      </rPr>
      <t xml:space="preserve"> 1:15 No New Inning - 1:30 Drop Dead</t>
    </r>
  </si>
  <si>
    <r>
      <t xml:space="preserve">Batters are to </t>
    </r>
    <r>
      <rPr>
        <b/>
        <sz val="10"/>
        <color rgb="FF000000"/>
        <rFont val="Aptos Narrow"/>
        <family val="2"/>
      </rPr>
      <t>stay in the box</t>
    </r>
    <r>
      <rPr>
        <sz val="10"/>
        <color rgb="FF000000"/>
        <rFont val="Aptos Narrow"/>
        <family val="2"/>
      </rPr>
      <t xml:space="preserve"> with one foot out between picthes (Keep the game moving)</t>
    </r>
  </si>
  <si>
    <r>
      <rPr>
        <b/>
        <sz val="10"/>
        <color rgb="FF000000"/>
        <rFont val="Aptos Narrow"/>
        <family val="2"/>
      </rPr>
      <t>No coaches coaching from outside the dugout</t>
    </r>
    <r>
      <rPr>
        <sz val="10"/>
        <color rgb="FF000000"/>
        <rFont val="Aptos Narrow"/>
        <family val="2"/>
      </rPr>
      <t xml:space="preserve"> (No one standing down the lines)</t>
    </r>
  </si>
  <si>
    <t>Cancel</t>
  </si>
  <si>
    <t>No</t>
  </si>
  <si>
    <t>Good</t>
  </si>
  <si>
    <t>Schedule</t>
  </si>
  <si>
    <t>Joshue Sayre</t>
  </si>
  <si>
    <t>Mo, We, Su</t>
  </si>
  <si>
    <t>M, W</t>
  </si>
  <si>
    <t>Wolfgang Gere</t>
  </si>
  <si>
    <t>Eric Ornales</t>
  </si>
  <si>
    <t>Adrian Orozco</t>
  </si>
  <si>
    <t>Tu, Fr, Su</t>
  </si>
  <si>
    <t>Tu, Fr</t>
  </si>
  <si>
    <t>Pratham Parmar</t>
  </si>
  <si>
    <t>Albert Rabogo</t>
  </si>
  <si>
    <t>We</t>
  </si>
  <si>
    <t>Andres Orduno</t>
  </si>
  <si>
    <t>Mo, We</t>
  </si>
  <si>
    <t>Sat, Tu</t>
  </si>
  <si>
    <t>Su</t>
  </si>
  <si>
    <t>xx</t>
  </si>
  <si>
    <t>Joseph Andezola</t>
  </si>
  <si>
    <t>Mo, Tu, We</t>
  </si>
  <si>
    <t>Thomas Nasuti</t>
  </si>
  <si>
    <t>Diego Ritson</t>
  </si>
  <si>
    <t>Joey Ruiz</t>
  </si>
  <si>
    <t>Ryan Sanchez</t>
  </si>
  <si>
    <t>William Combs</t>
  </si>
  <si>
    <t>LBLL</t>
  </si>
  <si>
    <t>Village</t>
  </si>
  <si>
    <t>Farm Solo</t>
  </si>
  <si>
    <t>Minor B Solo</t>
  </si>
  <si>
    <t>Minor A Solo</t>
  </si>
  <si>
    <t>I spoke to Chief Umpire and this is his Price Schedule for LV</t>
  </si>
  <si>
    <t>*Major Plate</t>
  </si>
  <si>
    <t>*Major Bases</t>
  </si>
  <si>
    <t>Same as 25</t>
  </si>
  <si>
    <t>Up 5 from 25</t>
  </si>
  <si>
    <t>My pricing is the same as last year in Minors and Farm</t>
  </si>
  <si>
    <t>Pricing listed includes Umpire and assigning fees</t>
  </si>
  <si>
    <t>*Price raised for Majors</t>
  </si>
  <si>
    <t>Minor B Games</t>
  </si>
  <si>
    <t>Minor A Games</t>
  </si>
  <si>
    <t>Farm Games</t>
  </si>
  <si>
    <t>Major games</t>
  </si>
  <si>
    <t>Sample of games for an entire regular season (Rough number of games)</t>
  </si>
  <si>
    <t>5 Weeks 10 games a week</t>
  </si>
  <si>
    <t>10 Weeks 12 games a week</t>
  </si>
  <si>
    <t>10 Weeks 10 games a week</t>
  </si>
  <si>
    <t>10 Weeks 6 games a week + Midseason Tournamnet</t>
  </si>
  <si>
    <t>Hunt</t>
  </si>
  <si>
    <t>Mrsh</t>
  </si>
  <si>
    <t>MnrA</t>
  </si>
  <si>
    <t>MnrB</t>
  </si>
  <si>
    <t>Maj</t>
  </si>
  <si>
    <t>Day</t>
  </si>
  <si>
    <t>JoBuch</t>
  </si>
  <si>
    <t>JoRuiz</t>
  </si>
  <si>
    <t>TMXX</t>
  </si>
  <si>
    <t>TMYY</t>
  </si>
  <si>
    <t>Eldo</t>
  </si>
  <si>
    <t>TM99</t>
  </si>
  <si>
    <t>TM88</t>
  </si>
  <si>
    <t xml:space="preserve">The schedule for next week </t>
  </si>
  <si>
    <t>has not been configured</t>
  </si>
  <si>
    <t>just yet</t>
  </si>
  <si>
    <t xml:space="preserve">Any questions please </t>
  </si>
  <si>
    <t>use the keys below to send</t>
  </si>
  <si>
    <t>Tom a msg</t>
  </si>
  <si>
    <t>Just overwrite the Text</t>
  </si>
  <si>
    <t>Mar 9-Mar 15</t>
  </si>
  <si>
    <t>Sun</t>
  </si>
  <si>
    <t>Fri</t>
  </si>
  <si>
    <t>Sat</t>
  </si>
  <si>
    <t>WeekDay Games from Mar, 9 to Mar, 13</t>
  </si>
  <si>
    <t>WeekEnd Games from Mar, 14 to Mar,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</si>
</sst>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h:mm\ AM/PM;@"/>
    <numFmt numFmtId="165" formatCode="ddd\ mmm\,\ d"/>
    <numFmt numFmtId="166" formatCode="###"/>
    <numFmt numFmtId="167" formatCode="ddd"/>
    <numFmt numFmtId="168" formatCode="ddd\ m/d"/>
  </numFmts>
  <fonts count="79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color theme="2" tint="-9.9978637043366805E-2"/>
      <name val="Calibri"/>
      <family val="2"/>
    </font>
    <font>
      <i/>
      <sz val="9"/>
      <color rgb="FF000000"/>
      <name val="Calibri"/>
      <family val="2"/>
    </font>
    <font>
      <sz val="11"/>
      <color rgb="FF7030A0"/>
      <name val="Calibri"/>
      <family val="2"/>
    </font>
    <font>
      <i/>
      <sz val="9"/>
      <color rgb="FF7030A0"/>
      <name val="Calibri"/>
      <family val="2"/>
    </font>
    <font>
      <b/>
      <sz val="11"/>
      <color rgb="FF7030A0"/>
      <name val="Calibri"/>
      <family val="2"/>
    </font>
    <font>
      <b/>
      <sz val="11"/>
      <color theme="1"/>
      <name val="Calibri"/>
      <family val="2"/>
    </font>
    <font>
      <sz val="8"/>
      <color rgb="FF7030A0"/>
      <name val="Calibri"/>
      <family val="2"/>
    </font>
    <font>
      <sz val="8"/>
      <color rgb="FF000000"/>
      <name val="Calibri"/>
      <family val="2"/>
    </font>
    <font>
      <i/>
      <sz val="9"/>
      <color rgb="FFFF0000"/>
      <name val="Calibri"/>
      <family val="2"/>
    </font>
    <font>
      <sz val="8"/>
      <color rgb="FFFF0000"/>
      <name val="Calibri"/>
      <family val="2"/>
    </font>
    <font>
      <b/>
      <sz val="11"/>
      <color theme="0"/>
      <name val="Calibri"/>
      <family val="2"/>
    </font>
    <font>
      <i/>
      <sz val="5"/>
      <color theme="0"/>
      <name val="Calibri"/>
      <family val="2"/>
    </font>
    <font>
      <i/>
      <sz val="9"/>
      <color theme="0"/>
      <name val="Calibri"/>
      <family val="2"/>
    </font>
    <font>
      <sz val="11"/>
      <color theme="0" tint="-0.499984740745262"/>
      <name val="Calibri"/>
      <family val="2"/>
    </font>
    <font>
      <b/>
      <i/>
      <sz val="11"/>
      <color theme="1"/>
      <name val="Calibri"/>
      <family val="2"/>
    </font>
    <font>
      <sz val="11"/>
      <color theme="1"/>
      <name val="Calibri"/>
      <family val="2"/>
    </font>
    <font>
      <strike/>
      <sz val="11"/>
      <color rgb="FF000000"/>
      <name val="Calibri"/>
      <family val="2"/>
    </font>
    <font>
      <b/>
      <u/>
      <sz val="14"/>
      <color rgb="FF000000"/>
      <name val="Calibri"/>
      <family val="2"/>
    </font>
    <font>
      <i/>
      <sz val="11"/>
      <color rgb="FF000000"/>
      <name val="Calibri"/>
      <family val="2"/>
    </font>
    <font>
      <sz val="8"/>
      <color theme="1"/>
      <name val="Calibri"/>
      <family val="2"/>
    </font>
    <font>
      <i/>
      <sz val="9"/>
      <color theme="1"/>
      <name val="Calibri"/>
      <family val="2"/>
    </font>
    <font>
      <b/>
      <sz val="18"/>
      <color rgb="FF000000"/>
      <name val="Calibri"/>
      <family val="2"/>
    </font>
    <font>
      <b/>
      <sz val="9"/>
      <color rgb="FF000000"/>
      <name val="Calibri"/>
      <family val="2"/>
    </font>
    <font>
      <b/>
      <sz val="9"/>
      <color theme="0"/>
      <name val="Calibri"/>
      <family val="2"/>
    </font>
    <font>
      <sz val="10"/>
      <color rgb="FF000000"/>
      <name val="Aptos Narrow"/>
      <family val="2"/>
    </font>
    <font>
      <b/>
      <sz val="10"/>
      <color rgb="FF000000"/>
      <name val="Aptos Narrow"/>
      <family val="2"/>
    </font>
    <font>
      <b/>
      <sz val="10"/>
      <color rgb="FFFF0000"/>
      <name val="Aptos Narrow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0"/>
      <color theme="1"/>
      <name val="Arial Narrow"/>
      <family val="2"/>
    </font>
    <font>
      <b/>
      <sz val="10"/>
      <color rgb="FF7030A0"/>
      <name val="Arial Narrow"/>
      <family val="2"/>
    </font>
    <font>
      <sz val="10"/>
      <color rgb="FF7030A0"/>
      <name val="Arial Narrow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trike/>
      <sz val="8"/>
      <color rgb="FFFF0000"/>
      <name val="Calibri"/>
      <family val="2"/>
    </font>
    <font>
      <i/>
      <strike/>
      <sz val="9"/>
      <color rgb="FFFF0000"/>
      <name val="Calibri"/>
      <family val="2"/>
    </font>
    <font>
      <b/>
      <strike/>
      <sz val="11"/>
      <color rgb="FFFF0000"/>
      <name val="Calibri"/>
      <family val="2"/>
    </font>
    <font>
      <b/>
      <strike/>
      <sz val="11"/>
      <color theme="1"/>
      <name val="Calibri"/>
      <family val="2"/>
    </font>
    <font>
      <strike/>
      <sz val="11"/>
      <color rgb="FFFF0000"/>
      <name val="Calibri"/>
      <family val="2"/>
    </font>
    <font>
      <strike/>
      <sz val="11"/>
      <color theme="2" tint="-9.9978637043366805E-2"/>
      <name val="Calibri"/>
      <family val="2"/>
    </font>
    <font>
      <strike/>
      <sz val="11"/>
      <color theme="0" tint="-0.499984740745262"/>
      <name val="Calibri"/>
      <family val="2"/>
    </font>
    <font>
      <strike/>
      <sz val="8"/>
      <color rgb="FF000000"/>
      <name val="Calibri"/>
      <family val="2"/>
    </font>
    <font>
      <i/>
      <strike/>
      <sz val="9"/>
      <color rgb="FF000000"/>
      <name val="Calibri"/>
      <family val="2"/>
    </font>
    <font>
      <b/>
      <strike/>
      <sz val="11"/>
      <color rgb="FF000000"/>
      <name val="Calibri"/>
      <family val="2"/>
    </font>
    <font>
      <strike/>
      <sz val="8"/>
      <color rgb="FF7030A0"/>
      <name val="Calibri"/>
      <family val="2"/>
    </font>
    <font>
      <i/>
      <strike/>
      <sz val="9"/>
      <color rgb="FF7030A0"/>
      <name val="Calibri"/>
      <family val="2"/>
    </font>
    <font>
      <b/>
      <strike/>
      <sz val="11"/>
      <color rgb="FF7030A0"/>
      <name val="Calibri"/>
      <family val="2"/>
    </font>
    <font>
      <strike/>
      <sz val="11"/>
      <color rgb="FF7030A0"/>
      <name val="Calibri"/>
      <family val="2"/>
    </font>
    <font>
      <strike/>
      <sz val="8"/>
      <color theme="1"/>
      <name val="Calibri"/>
      <family val="2"/>
    </font>
    <font>
      <i/>
      <strike/>
      <sz val="9"/>
      <color theme="1"/>
      <name val="Calibri"/>
      <family val="2"/>
    </font>
    <font>
      <strike/>
      <sz val="11"/>
      <color theme="1"/>
      <name val="Calibri"/>
      <family val="2"/>
    </font>
    <font>
      <i/>
      <strike/>
      <sz val="5"/>
      <color theme="0"/>
      <name val="Calibri"/>
      <family val="2"/>
    </font>
    <font>
      <i/>
      <strike/>
      <sz val="9"/>
      <color theme="0"/>
      <name val="Calibri"/>
      <family val="2"/>
    </font>
    <font>
      <b/>
      <strike/>
      <sz val="11"/>
      <color theme="0"/>
      <name val="Calibri"/>
      <family val="2"/>
    </font>
    <font>
      <strike/>
      <sz val="8"/>
      <color rgb="FF002060"/>
      <name val="Calibri"/>
      <family val="2"/>
    </font>
    <font>
      <i/>
      <strike/>
      <sz val="9"/>
      <color rgb="FF002060"/>
      <name val="Calibri"/>
      <family val="2"/>
    </font>
    <font>
      <b/>
      <strike/>
      <sz val="11"/>
      <color rgb="FF002060"/>
      <name val="Calibri"/>
      <family val="2"/>
    </font>
    <font>
      <strike/>
      <sz val="11"/>
      <color rgb="FF002060"/>
      <name val="Calibri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rgb="FF000000"/>
      <name val="Arial Narrow"/>
      <family val="2"/>
    </font>
    <font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8"/>
      <color rgb="FF002060"/>
      <name val="Calibri"/>
      <family val="2"/>
    </font>
    <font>
      <i/>
      <sz val="9"/>
      <color rgb="FF002060"/>
      <name val="Calibri"/>
      <family val="2"/>
    </font>
    <font>
      <b/>
      <sz val="11"/>
      <color rgb="FF002060"/>
      <name val="Calibri"/>
      <family val="2"/>
    </font>
    <font>
      <sz val="11"/>
      <color rgb="FF002060"/>
      <name val="Calibri"/>
      <family val="2"/>
    </font>
    <font>
      <b/>
      <sz val="10"/>
      <color rgb="FF002060"/>
      <name val="Arial Narrow"/>
      <family val="2"/>
    </font>
    <font>
      <sz val="10"/>
      <color rgb="FF002060"/>
      <name val="Arial Narrow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 applyBorder="0"/>
    <xf numFmtId="43" fontId="31" fillId="0" borderId="0" applyFont="0" applyFill="0" applyBorder="0" applyAlignment="0" applyProtection="0"/>
  </cellStyleXfs>
  <cellXfs count="435">
    <xf numFmtId="0" fontId="0" fillId="0" borderId="0" xfId="0"/>
    <xf numFmtId="0" fontId="1" fillId="0" borderId="0" xfId="0" applyFont="1"/>
    <xf numFmtId="0" fontId="0" fillId="0" borderId="0" xfId="0" applyBorder="1"/>
    <xf numFmtId="0" fontId="4" fillId="4" borderId="0" xfId="0" applyFont="1" applyFill="1"/>
    <xf numFmtId="0" fontId="0" fillId="4" borderId="0" xfId="0" applyFill="1"/>
    <xf numFmtId="0" fontId="5" fillId="0" borderId="0" xfId="0" applyFont="1"/>
    <xf numFmtId="0" fontId="11" fillId="0" borderId="0" xfId="0" applyFont="1"/>
    <xf numFmtId="0" fontId="10" fillId="2" borderId="4" xfId="0" applyFont="1" applyFill="1" applyBorder="1"/>
    <xf numFmtId="0" fontId="10" fillId="2" borderId="1" xfId="0" applyFont="1" applyFill="1" applyBorder="1"/>
    <xf numFmtId="0" fontId="7" fillId="2" borderId="1" xfId="0" applyFont="1" applyFill="1" applyBorder="1"/>
    <xf numFmtId="0" fontId="10" fillId="2" borderId="6" xfId="0" applyFont="1" applyFill="1" applyBorder="1"/>
    <xf numFmtId="0" fontId="10" fillId="2" borderId="7" xfId="0" applyFont="1" applyFill="1" applyBorder="1"/>
    <xf numFmtId="0" fontId="7" fillId="2" borderId="7" xfId="0" applyFont="1" applyFill="1" applyBorder="1"/>
    <xf numFmtId="0" fontId="11" fillId="0" borderId="4" xfId="0" applyFont="1" applyBorder="1"/>
    <xf numFmtId="0" fontId="11" fillId="0" borderId="1" xfId="0" applyFont="1" applyBorder="1"/>
    <xf numFmtId="0" fontId="5" fillId="0" borderId="1" xfId="0" applyFont="1" applyBorder="1"/>
    <xf numFmtId="0" fontId="13" fillId="0" borderId="4" xfId="0" applyFont="1" applyBorder="1"/>
    <xf numFmtId="0" fontId="13" fillId="0" borderId="1" xfId="0" applyFont="1" applyBorder="1"/>
    <xf numFmtId="0" fontId="12" fillId="0" borderId="1" xfId="0" applyFont="1" applyBorder="1"/>
    <xf numFmtId="0" fontId="10" fillId="0" borderId="4" xfId="0" applyFont="1" applyBorder="1"/>
    <xf numFmtId="0" fontId="10" fillId="0" borderId="1" xfId="0" applyFont="1" applyBorder="1"/>
    <xf numFmtId="0" fontId="7" fillId="0" borderId="1" xfId="0" applyFont="1" applyBorder="1"/>
    <xf numFmtId="0" fontId="13" fillId="3" borderId="4" xfId="0" applyFont="1" applyFill="1" applyBorder="1"/>
    <xf numFmtId="0" fontId="13" fillId="3" borderId="1" xfId="0" applyFont="1" applyFill="1" applyBorder="1"/>
    <xf numFmtId="0" fontId="12" fillId="3" borderId="1" xfId="0" applyFont="1" applyFill="1" applyBorder="1"/>
    <xf numFmtId="0" fontId="13" fillId="3" borderId="12" xfId="0" applyFont="1" applyFill="1" applyBorder="1"/>
    <xf numFmtId="0" fontId="13" fillId="3" borderId="3" xfId="0" applyFont="1" applyFill="1" applyBorder="1"/>
    <xf numFmtId="0" fontId="12" fillId="3" borderId="3" xfId="0" applyFont="1" applyFill="1" applyBorder="1"/>
    <xf numFmtId="0" fontId="7" fillId="2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165" fontId="8" fillId="2" borderId="1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165" fontId="8" fillId="0" borderId="1" xfId="0" applyNumberFormat="1" applyFont="1" applyBorder="1"/>
    <xf numFmtId="165" fontId="9" fillId="0" borderId="1" xfId="0" applyNumberFormat="1" applyFont="1" applyBorder="1"/>
    <xf numFmtId="165" fontId="3" fillId="0" borderId="1" xfId="0" applyNumberFormat="1" applyFont="1" applyBorder="1"/>
    <xf numFmtId="165" fontId="8" fillId="2" borderId="7" xfId="0" applyNumberFormat="1" applyFont="1" applyFill="1" applyBorder="1"/>
    <xf numFmtId="165" fontId="9" fillId="0" borderId="0" xfId="0" applyNumberFormat="1" applyFont="1"/>
    <xf numFmtId="166" fontId="17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166" fontId="2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5" borderId="21" xfId="0" applyFont="1" applyFill="1" applyBorder="1" applyAlignment="1">
      <alignment horizontal="right"/>
    </xf>
    <xf numFmtId="166" fontId="1" fillId="6" borderId="18" xfId="0" applyNumberFormat="1" applyFont="1" applyFill="1" applyBorder="1" applyAlignment="1">
      <alignment horizontal="center"/>
    </xf>
    <xf numFmtId="166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1" fillId="3" borderId="4" xfId="0" applyFont="1" applyFill="1" applyBorder="1"/>
    <xf numFmtId="0" fontId="11" fillId="3" borderId="1" xfId="0" applyFont="1" applyFill="1" applyBorder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65" fontId="9" fillId="3" borderId="1" xfId="0" applyNumberFormat="1" applyFont="1" applyFill="1" applyBorder="1"/>
    <xf numFmtId="0" fontId="10" fillId="3" borderId="4" xfId="0" applyFont="1" applyFill="1" applyBorder="1"/>
    <xf numFmtId="0" fontId="10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7" fillId="3" borderId="1" xfId="0" applyFont="1" applyFill="1" applyBorder="1"/>
    <xf numFmtId="165" fontId="8" fillId="3" borderId="1" xfId="0" applyNumberFormat="1" applyFont="1" applyFill="1" applyBorder="1"/>
    <xf numFmtId="0" fontId="13" fillId="5" borderId="4" xfId="0" applyFont="1" applyFill="1" applyBorder="1"/>
    <xf numFmtId="0" fontId="13" fillId="5" borderId="1" xfId="0" applyFont="1" applyFill="1" applyBorder="1"/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/>
    <xf numFmtId="165" fontId="3" fillId="5" borderId="1" xfId="0" applyNumberFormat="1" applyFont="1" applyFill="1" applyBorder="1"/>
    <xf numFmtId="0" fontId="20" fillId="0" borderId="0" xfId="0" applyFont="1"/>
    <xf numFmtId="0" fontId="21" fillId="0" borderId="0" xfId="0" applyFont="1" applyBorder="1"/>
    <xf numFmtId="0" fontId="22" fillId="0" borderId="0" xfId="0" applyFont="1"/>
    <xf numFmtId="0" fontId="1" fillId="3" borderId="0" xfId="0" applyFont="1" applyFill="1"/>
    <xf numFmtId="0" fontId="0" fillId="3" borderId="0" xfId="0" applyFill="1"/>
    <xf numFmtId="0" fontId="3" fillId="0" borderId="0" xfId="0" applyFont="1"/>
    <xf numFmtId="0" fontId="19" fillId="0" borderId="0" xfId="0" applyFont="1"/>
    <xf numFmtId="0" fontId="25" fillId="0" borderId="0" xfId="0" applyFont="1"/>
    <xf numFmtId="0" fontId="24" fillId="0" borderId="1" xfId="0" applyFont="1" applyBorder="1" applyAlignment="1">
      <alignment horizontal="center"/>
    </xf>
    <xf numFmtId="0" fontId="24" fillId="0" borderId="1" xfId="0" applyFont="1" applyBorder="1"/>
    <xf numFmtId="0" fontId="0" fillId="0" borderId="0" xfId="0" applyAlignment="1">
      <alignment vertical="top"/>
    </xf>
    <xf numFmtId="0" fontId="23" fillId="0" borderId="4" xfId="0" applyFont="1" applyBorder="1"/>
    <xf numFmtId="0" fontId="23" fillId="0" borderId="1" xfId="0" applyFont="1" applyBorder="1"/>
    <xf numFmtId="0" fontId="9" fillId="2" borderId="25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4" fontId="9" fillId="2" borderId="26" xfId="0" applyNumberFormat="1" applyFont="1" applyFill="1" applyBorder="1" applyAlignment="1">
      <alignment horizontal="center"/>
    </xf>
    <xf numFmtId="0" fontId="9" fillId="2" borderId="27" xfId="0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2" fillId="0" borderId="2" xfId="0" applyFont="1" applyBorder="1" applyAlignment="1">
      <alignment horizontal="center" textRotation="55"/>
    </xf>
    <xf numFmtId="166" fontId="3" fillId="3" borderId="2" xfId="0" applyNumberFormat="1" applyFont="1" applyFill="1" applyBorder="1" applyAlignment="1">
      <alignment horizontal="center" textRotation="55"/>
    </xf>
    <xf numFmtId="166" fontId="1" fillId="3" borderId="2" xfId="0" applyNumberFormat="1" applyFont="1" applyFill="1" applyBorder="1" applyAlignment="1">
      <alignment horizontal="center" textRotation="55"/>
    </xf>
    <xf numFmtId="166" fontId="14" fillId="10" borderId="2" xfId="0" applyNumberFormat="1" applyFont="1" applyFill="1" applyBorder="1" applyAlignment="1">
      <alignment horizontal="center" textRotation="55"/>
    </xf>
    <xf numFmtId="166" fontId="1" fillId="9" borderId="2" xfId="0" applyNumberFormat="1" applyFont="1" applyFill="1" applyBorder="1" applyAlignment="1">
      <alignment horizontal="center" textRotation="55"/>
    </xf>
    <xf numFmtId="166" fontId="1" fillId="11" borderId="2" xfId="0" applyNumberFormat="1" applyFont="1" applyFill="1" applyBorder="1" applyAlignment="1">
      <alignment horizontal="center" textRotation="55"/>
    </xf>
    <xf numFmtId="166" fontId="1" fillId="8" borderId="2" xfId="0" applyNumberFormat="1" applyFont="1" applyFill="1" applyBorder="1" applyAlignment="1">
      <alignment horizontal="center" textRotation="55"/>
    </xf>
    <xf numFmtId="166" fontId="14" fillId="13" borderId="1" xfId="0" applyNumberFormat="1" applyFont="1" applyFill="1" applyBorder="1" applyAlignment="1">
      <alignment horizontal="center"/>
    </xf>
    <xf numFmtId="166" fontId="14" fillId="0" borderId="0" xfId="0" applyNumberFormat="1" applyFont="1" applyBorder="1" applyAlignment="1">
      <alignment horizontal="center"/>
    </xf>
    <xf numFmtId="0" fontId="13" fillId="14" borderId="9" xfId="0" applyFont="1" applyFill="1" applyBorder="1"/>
    <xf numFmtId="0" fontId="13" fillId="14" borderId="30" xfId="0" applyFont="1" applyFill="1" applyBorder="1"/>
    <xf numFmtId="0" fontId="15" fillId="14" borderId="30" xfId="0" applyFont="1" applyFill="1" applyBorder="1" applyAlignment="1">
      <alignment horizontal="center" vertical="top"/>
    </xf>
    <xf numFmtId="0" fontId="16" fillId="14" borderId="30" xfId="0" applyFont="1" applyFill="1" applyBorder="1"/>
    <xf numFmtId="165" fontId="3" fillId="14" borderId="30" xfId="0" applyNumberFormat="1" applyFont="1" applyFill="1" applyBorder="1"/>
    <xf numFmtId="0" fontId="13" fillId="4" borderId="9" xfId="0" applyFont="1" applyFill="1" applyBorder="1"/>
    <xf numFmtId="0" fontId="13" fillId="4" borderId="30" xfId="0" applyFont="1" applyFill="1" applyBorder="1"/>
    <xf numFmtId="0" fontId="15" fillId="4" borderId="30" xfId="0" applyFont="1" applyFill="1" applyBorder="1" applyAlignment="1">
      <alignment horizontal="center" vertical="top"/>
    </xf>
    <xf numFmtId="0" fontId="16" fillId="4" borderId="30" xfId="0" applyFont="1" applyFill="1" applyBorder="1"/>
    <xf numFmtId="165" fontId="3" fillId="4" borderId="30" xfId="0" applyNumberFormat="1" applyFont="1" applyFill="1" applyBorder="1"/>
    <xf numFmtId="166" fontId="26" fillId="6" borderId="18" xfId="0" applyNumberFormat="1" applyFont="1" applyFill="1" applyBorder="1" applyAlignment="1">
      <alignment horizontal="center"/>
    </xf>
    <xf numFmtId="166" fontId="26" fillId="2" borderId="23" xfId="0" applyNumberFormat="1" applyFont="1" applyFill="1" applyBorder="1" applyAlignment="1">
      <alignment horizontal="center"/>
    </xf>
    <xf numFmtId="166" fontId="26" fillId="3" borderId="23" xfId="0" applyNumberFormat="1" applyFont="1" applyFill="1" applyBorder="1" applyAlignment="1">
      <alignment horizontal="center"/>
    </xf>
    <xf numFmtId="166" fontId="27" fillId="10" borderId="23" xfId="0" applyNumberFormat="1" applyFont="1" applyFill="1" applyBorder="1" applyAlignment="1">
      <alignment horizontal="center"/>
    </xf>
    <xf numFmtId="166" fontId="26" fillId="9" borderId="23" xfId="0" applyNumberFormat="1" applyFont="1" applyFill="1" applyBorder="1" applyAlignment="1">
      <alignment horizontal="center"/>
    </xf>
    <xf numFmtId="166" fontId="26" fillId="12" borderId="23" xfId="0" applyNumberFormat="1" applyFont="1" applyFill="1" applyBorder="1" applyAlignment="1">
      <alignment horizontal="center"/>
    </xf>
    <xf numFmtId="166" fontId="26" fillId="8" borderId="23" xfId="0" applyNumberFormat="1" applyFont="1" applyFill="1" applyBorder="1" applyAlignment="1">
      <alignment horizontal="center"/>
    </xf>
    <xf numFmtId="166" fontId="27" fillId="13" borderId="24" xfId="0" applyNumberFormat="1" applyFont="1" applyFill="1" applyBorder="1" applyAlignment="1">
      <alignment horizontal="center"/>
    </xf>
    <xf numFmtId="166" fontId="1" fillId="3" borderId="10" xfId="0" applyNumberFormat="1" applyFont="1" applyFill="1" applyBorder="1" applyAlignment="1">
      <alignment horizontal="center"/>
    </xf>
    <xf numFmtId="166" fontId="1" fillId="15" borderId="10" xfId="0" applyNumberFormat="1" applyFont="1" applyFill="1" applyBorder="1" applyAlignment="1">
      <alignment horizontal="center"/>
    </xf>
    <xf numFmtId="166" fontId="1" fillId="12" borderId="10" xfId="0" applyNumberFormat="1" applyFont="1" applyFill="1" applyBorder="1" applyAlignment="1">
      <alignment horizontal="center"/>
    </xf>
    <xf numFmtId="166" fontId="14" fillId="16" borderId="10" xfId="0" applyNumberFormat="1" applyFont="1" applyFill="1" applyBorder="1" applyAlignment="1">
      <alignment horizontal="center"/>
    </xf>
    <xf numFmtId="166" fontId="1" fillId="17" borderId="10" xfId="0" applyNumberFormat="1" applyFont="1" applyFill="1" applyBorder="1" applyAlignment="1">
      <alignment horizontal="center"/>
    </xf>
    <xf numFmtId="166" fontId="18" fillId="0" borderId="0" xfId="0" applyNumberFormat="1" applyFont="1" applyBorder="1" applyAlignment="1">
      <alignment horizontal="left"/>
    </xf>
    <xf numFmtId="166" fontId="1" fillId="18" borderId="2" xfId="0" applyNumberFormat="1" applyFont="1" applyFill="1" applyBorder="1" applyAlignment="1">
      <alignment horizontal="center" textRotation="55"/>
    </xf>
    <xf numFmtId="166" fontId="26" fillId="18" borderId="23" xfId="0" applyNumberFormat="1" applyFont="1" applyFill="1" applyBorder="1" applyAlignment="1">
      <alignment horizontal="center"/>
    </xf>
    <xf numFmtId="166" fontId="1" fillId="18" borderId="10" xfId="0" applyNumberFormat="1" applyFont="1" applyFill="1" applyBorder="1" applyAlignment="1">
      <alignment horizontal="center"/>
    </xf>
    <xf numFmtId="0" fontId="28" fillId="0" borderId="0" xfId="0" applyFont="1" applyAlignment="1">
      <alignment wrapText="1"/>
    </xf>
    <xf numFmtId="0" fontId="0" fillId="2" borderId="0" xfId="0" applyFill="1"/>
    <xf numFmtId="0" fontId="28" fillId="2" borderId="0" xfId="0" applyFont="1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vertical="top"/>
    </xf>
    <xf numFmtId="0" fontId="28" fillId="2" borderId="1" xfId="0" applyFont="1" applyFill="1" applyBorder="1" applyAlignment="1">
      <alignment wrapText="1"/>
    </xf>
    <xf numFmtId="0" fontId="28" fillId="2" borderId="2" xfId="0" applyFont="1" applyFill="1" applyBorder="1" applyAlignment="1">
      <alignment wrapText="1"/>
    </xf>
    <xf numFmtId="0" fontId="28" fillId="2" borderId="11" xfId="0" applyFont="1" applyFill="1" applyBorder="1" applyAlignment="1">
      <alignment wrapText="1"/>
    </xf>
    <xf numFmtId="0" fontId="28" fillId="5" borderId="1" xfId="0" applyFont="1" applyFill="1" applyBorder="1" applyAlignment="1">
      <alignment wrapText="1"/>
    </xf>
    <xf numFmtId="0" fontId="29" fillId="2" borderId="1" xfId="0" applyFont="1" applyFill="1" applyBorder="1" applyAlignment="1">
      <alignment wrapText="1"/>
    </xf>
    <xf numFmtId="0" fontId="29" fillId="5" borderId="1" xfId="0" applyFont="1" applyFill="1" applyBorder="1" applyAlignment="1">
      <alignment wrapText="1"/>
    </xf>
    <xf numFmtId="0" fontId="0" fillId="8" borderId="0" xfId="0" applyFill="1"/>
    <xf numFmtId="0" fontId="0" fillId="8" borderId="0" xfId="0" applyFill="1" applyAlignment="1">
      <alignment horizontal="left"/>
    </xf>
    <xf numFmtId="0" fontId="33" fillId="8" borderId="0" xfId="0" applyFont="1" applyFill="1"/>
    <xf numFmtId="0" fontId="32" fillId="8" borderId="0" xfId="0" applyFont="1" applyFill="1"/>
    <xf numFmtId="0" fontId="32" fillId="19" borderId="0" xfId="0" applyFont="1" applyFill="1"/>
    <xf numFmtId="0" fontId="33" fillId="0" borderId="0" xfId="0" applyFont="1"/>
    <xf numFmtId="0" fontId="3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34" fillId="0" borderId="0" xfId="0" applyFont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5" fillId="2" borderId="0" xfId="0" applyFont="1" applyFill="1"/>
    <xf numFmtId="0" fontId="34" fillId="2" borderId="0" xfId="0" applyFont="1" applyFill="1"/>
    <xf numFmtId="43" fontId="0" fillId="0" borderId="0" xfId="1" applyFont="1" applyAlignment="1">
      <alignment horizontal="center"/>
    </xf>
    <xf numFmtId="43" fontId="0" fillId="0" borderId="0" xfId="1" applyFont="1"/>
    <xf numFmtId="43" fontId="1" fillId="0" borderId="0" xfId="1" applyFont="1" applyAlignment="1">
      <alignment horizontal="center"/>
    </xf>
    <xf numFmtId="43" fontId="1" fillId="0" borderId="0" xfId="1" applyFont="1"/>
    <xf numFmtId="0" fontId="35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40" fillId="0" borderId="0" xfId="0" applyFont="1"/>
    <xf numFmtId="167" fontId="40" fillId="0" borderId="0" xfId="0" applyNumberFormat="1" applyFont="1"/>
    <xf numFmtId="167" fontId="40" fillId="0" borderId="0" xfId="0" applyNumberFormat="1" applyFont="1" applyAlignment="1">
      <alignment horizontal="center"/>
    </xf>
    <xf numFmtId="167" fontId="40" fillId="0" borderId="0" xfId="0" applyNumberFormat="1" applyFont="1" applyAlignment="1">
      <alignment horizontal="right"/>
    </xf>
    <xf numFmtId="0" fontId="38" fillId="2" borderId="10" xfId="0" applyFont="1" applyFill="1" applyBorder="1" applyAlignment="1">
      <alignment horizontal="center"/>
    </xf>
    <xf numFmtId="0" fontId="37" fillId="2" borderId="1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167" fontId="39" fillId="9" borderId="2" xfId="0" applyNumberFormat="1" applyFont="1" applyFill="1" applyBorder="1" applyAlignment="1">
      <alignment horizontal="center"/>
    </xf>
    <xf numFmtId="164" fontId="9" fillId="2" borderId="26" xfId="0" applyNumberFormat="1" applyFont="1" applyFill="1" applyBorder="1"/>
    <xf numFmtId="164" fontId="3" fillId="4" borderId="30" xfId="0" applyNumberFormat="1" applyFont="1" applyFill="1" applyBorder="1"/>
    <xf numFmtId="164" fontId="3" fillId="3" borderId="3" xfId="0" applyNumberFormat="1" applyFont="1" applyFill="1" applyBorder="1"/>
    <xf numFmtId="164" fontId="9" fillId="3" borderId="1" xfId="0" applyNumberFormat="1" applyFont="1" applyFill="1" applyBorder="1"/>
    <xf numFmtId="164" fontId="3" fillId="3" borderId="1" xfId="0" applyNumberFormat="1" applyFont="1" applyFill="1" applyBorder="1"/>
    <xf numFmtId="164" fontId="9" fillId="0" borderId="1" xfId="0" applyNumberFormat="1" applyFont="1" applyBorder="1"/>
    <xf numFmtId="164" fontId="3" fillId="0" borderId="1" xfId="0" applyNumberFormat="1" applyFont="1" applyBorder="1"/>
    <xf numFmtId="164" fontId="8" fillId="2" borderId="1" xfId="0" applyNumberFormat="1" applyFont="1" applyFill="1" applyBorder="1"/>
    <xf numFmtId="164" fontId="3" fillId="14" borderId="30" xfId="0" applyNumberFormat="1" applyFont="1" applyFill="1" applyBorder="1"/>
    <xf numFmtId="164" fontId="8" fillId="0" borderId="1" xfId="0" applyNumberFormat="1" applyFont="1" applyBorder="1"/>
    <xf numFmtId="164" fontId="8" fillId="3" borderId="1" xfId="0" applyNumberFormat="1" applyFont="1" applyFill="1" applyBorder="1"/>
    <xf numFmtId="164" fontId="3" fillId="5" borderId="1" xfId="0" applyNumberFormat="1" applyFont="1" applyFill="1" applyBorder="1"/>
    <xf numFmtId="164" fontId="8" fillId="2" borderId="7" xfId="0" applyNumberFormat="1" applyFont="1" applyFill="1" applyBorder="1"/>
    <xf numFmtId="0" fontId="9" fillId="0" borderId="0" xfId="0" applyFont="1"/>
    <xf numFmtId="164" fontId="9" fillId="4" borderId="30" xfId="0" applyNumberFormat="1" applyFont="1" applyFill="1" applyBorder="1" applyAlignment="1">
      <alignment horizontal="center"/>
    </xf>
    <xf numFmtId="164" fontId="9" fillId="0" borderId="10" xfId="0" applyNumberFormat="1" applyFont="1" applyBorder="1" applyAlignment="1">
      <alignment horizontal="center"/>
    </xf>
    <xf numFmtId="164" fontId="3" fillId="3" borderId="15" xfId="0" applyNumberFormat="1" applyFont="1" applyFill="1" applyBorder="1" applyAlignment="1">
      <alignment horizontal="center"/>
    </xf>
    <xf numFmtId="164" fontId="9" fillId="0" borderId="11" xfId="0" applyNumberFormat="1" applyFont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164" fontId="8" fillId="2" borderId="9" xfId="0" applyNumberFormat="1" applyFont="1" applyFill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164" fontId="9" fillId="14" borderId="30" xfId="0" applyNumberFormat="1" applyFont="1" applyFill="1" applyBorder="1" applyAlignment="1">
      <alignment horizontal="center"/>
    </xf>
    <xf numFmtId="164" fontId="3" fillId="3" borderId="9" xfId="0" applyNumberFormat="1" applyFont="1" applyFill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3" borderId="9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64" fontId="3" fillId="0" borderId="11" xfId="0" applyNumberFormat="1" applyFont="1" applyBorder="1" applyAlignment="1">
      <alignment horizontal="center"/>
    </xf>
    <xf numFmtId="164" fontId="9" fillId="0" borderId="9" xfId="0" applyNumberFormat="1" applyFont="1" applyBorder="1" applyAlignment="1">
      <alignment horizontal="center"/>
    </xf>
    <xf numFmtId="164" fontId="3" fillId="5" borderId="15" xfId="0" applyNumberFormat="1" applyFont="1" applyFill="1" applyBorder="1" applyAlignment="1">
      <alignment horizontal="center"/>
    </xf>
    <xf numFmtId="164" fontId="3" fillId="5" borderId="11" xfId="0" applyNumberFormat="1" applyFont="1" applyFill="1" applyBorder="1" applyAlignment="1">
      <alignment horizontal="center"/>
    </xf>
    <xf numFmtId="164" fontId="8" fillId="2" borderId="14" xfId="0" applyNumberFormat="1" applyFont="1" applyFill="1" applyBorder="1" applyAlignment="1">
      <alignment horizontal="center"/>
    </xf>
    <xf numFmtId="164" fontId="9" fillId="0" borderId="19" xfId="0" applyNumberFormat="1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36" fillId="0" borderId="11" xfId="0" applyNumberFormat="1" applyFont="1" applyBorder="1" applyAlignment="1">
      <alignment horizontal="center"/>
    </xf>
    <xf numFmtId="164" fontId="36" fillId="0" borderId="3" xfId="0" applyNumberFormat="1" applyFont="1" applyBorder="1" applyAlignment="1">
      <alignment horizontal="center"/>
    </xf>
    <xf numFmtId="164" fontId="37" fillId="2" borderId="1" xfId="0" applyNumberFormat="1" applyFont="1" applyFill="1" applyBorder="1"/>
    <xf numFmtId="164" fontId="37" fillId="2" borderId="9" xfId="0" applyNumberFormat="1" applyFont="1" applyFill="1" applyBorder="1" applyAlignment="1">
      <alignment horizontal="center"/>
    </xf>
    <xf numFmtId="0" fontId="42" fillId="3" borderId="12" xfId="0" applyFont="1" applyFill="1" applyBorder="1"/>
    <xf numFmtId="0" fontId="42" fillId="3" borderId="3" xfId="0" applyFont="1" applyFill="1" applyBorder="1"/>
    <xf numFmtId="0" fontId="43" fillId="3" borderId="3" xfId="0" applyFont="1" applyFill="1" applyBorder="1" applyAlignment="1">
      <alignment horizontal="center"/>
    </xf>
    <xf numFmtId="0" fontId="43" fillId="3" borderId="3" xfId="0" applyFont="1" applyFill="1" applyBorder="1"/>
    <xf numFmtId="165" fontId="44" fillId="3" borderId="3" xfId="0" applyNumberFormat="1" applyFont="1" applyFill="1" applyBorder="1"/>
    <xf numFmtId="164" fontId="44" fillId="3" borderId="3" xfId="0" applyNumberFormat="1" applyFont="1" applyFill="1" applyBorder="1"/>
    <xf numFmtId="164" fontId="44" fillId="3" borderId="15" xfId="0" applyNumberFormat="1" applyFont="1" applyFill="1" applyBorder="1" applyAlignment="1">
      <alignment horizontal="center"/>
    </xf>
    <xf numFmtId="164" fontId="45" fillId="0" borderId="11" xfId="0" applyNumberFormat="1" applyFont="1" applyBorder="1" applyAlignment="1">
      <alignment horizontal="center"/>
    </xf>
    <xf numFmtId="0" fontId="46" fillId="3" borderId="17" xfId="0" applyFont="1" applyFill="1" applyBorder="1" applyAlignment="1">
      <alignment horizontal="center"/>
    </xf>
    <xf numFmtId="0" fontId="44" fillId="3" borderId="13" xfId="0" applyFont="1" applyFill="1" applyBorder="1" applyAlignment="1">
      <alignment horizontal="center"/>
    </xf>
    <xf numFmtId="0" fontId="47" fillId="4" borderId="0" xfId="0" applyFont="1" applyFill="1"/>
    <xf numFmtId="166" fontId="48" fillId="0" borderId="0" xfId="0" applyNumberFormat="1" applyFont="1" applyAlignment="1">
      <alignment horizontal="center"/>
    </xf>
    <xf numFmtId="166" fontId="46" fillId="0" borderId="0" xfId="0" applyNumberFormat="1" applyFont="1" applyAlignment="1">
      <alignment horizontal="center"/>
    </xf>
    <xf numFmtId="0" fontId="49" fillId="3" borderId="4" xfId="0" applyFont="1" applyFill="1" applyBorder="1"/>
    <xf numFmtId="0" fontId="49" fillId="3" borderId="1" xfId="0" applyFont="1" applyFill="1" applyBorder="1"/>
    <xf numFmtId="0" fontId="50" fillId="3" borderId="1" xfId="0" applyFont="1" applyFill="1" applyBorder="1" applyAlignment="1">
      <alignment horizontal="center"/>
    </xf>
    <xf numFmtId="0" fontId="50" fillId="3" borderId="1" xfId="0" applyFont="1" applyFill="1" applyBorder="1"/>
    <xf numFmtId="165" fontId="45" fillId="3" borderId="1" xfId="0" applyNumberFormat="1" applyFont="1" applyFill="1" applyBorder="1"/>
    <xf numFmtId="164" fontId="45" fillId="3" borderId="1" xfId="0" applyNumberFormat="1" applyFont="1" applyFill="1" applyBorder="1"/>
    <xf numFmtId="164" fontId="51" fillId="3" borderId="1" xfId="0" applyNumberFormat="1" applyFont="1" applyFill="1" applyBorder="1" applyAlignment="1">
      <alignment horizontal="center"/>
    </xf>
    <xf numFmtId="0" fontId="20" fillId="3" borderId="1" xfId="0" applyFont="1" applyFill="1" applyBorder="1" applyAlignment="1">
      <alignment horizontal="center"/>
    </xf>
    <xf numFmtId="0" fontId="51" fillId="3" borderId="5" xfId="0" applyFont="1" applyFill="1" applyBorder="1" applyAlignment="1">
      <alignment horizontal="center"/>
    </xf>
    <xf numFmtId="0" fontId="42" fillId="3" borderId="4" xfId="0" applyFont="1" applyFill="1" applyBorder="1"/>
    <xf numFmtId="0" fontId="42" fillId="3" borderId="1" xfId="0" applyFont="1" applyFill="1" applyBorder="1"/>
    <xf numFmtId="0" fontId="43" fillId="3" borderId="1" xfId="0" applyFont="1" applyFill="1" applyBorder="1" applyAlignment="1">
      <alignment horizontal="center"/>
    </xf>
    <xf numFmtId="0" fontId="43" fillId="3" borderId="1" xfId="0" applyFont="1" applyFill="1" applyBorder="1"/>
    <xf numFmtId="165" fontId="44" fillId="3" borderId="1" xfId="0" applyNumberFormat="1" applyFont="1" applyFill="1" applyBorder="1"/>
    <xf numFmtId="164" fontId="44" fillId="3" borderId="1" xfId="0" applyNumberFormat="1" applyFont="1" applyFill="1" applyBorder="1"/>
    <xf numFmtId="0" fontId="46" fillId="3" borderId="10" xfId="0" applyFont="1" applyFill="1" applyBorder="1" applyAlignment="1">
      <alignment horizontal="center"/>
    </xf>
    <xf numFmtId="0" fontId="44" fillId="3" borderId="5" xfId="0" applyFont="1" applyFill="1" applyBorder="1" applyAlignment="1">
      <alignment horizontal="center"/>
    </xf>
    <xf numFmtId="0" fontId="49" fillId="0" borderId="4" xfId="0" applyFont="1" applyBorder="1"/>
    <xf numFmtId="0" fontId="49" fillId="0" borderId="1" xfId="0" applyFont="1" applyBorder="1"/>
    <xf numFmtId="0" fontId="50" fillId="0" borderId="1" xfId="0" applyFont="1" applyBorder="1" applyAlignment="1">
      <alignment horizontal="center"/>
    </xf>
    <xf numFmtId="0" fontId="50" fillId="0" borderId="1" xfId="0" applyFont="1" applyBorder="1"/>
    <xf numFmtId="165" fontId="45" fillId="0" borderId="1" xfId="0" applyNumberFormat="1" applyFont="1" applyBorder="1"/>
    <xf numFmtId="164" fontId="45" fillId="0" borderId="1" xfId="0" applyNumberFormat="1" applyFont="1" applyBorder="1"/>
    <xf numFmtId="164" fontId="51" fillId="0" borderId="1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0" fontId="42" fillId="0" borderId="4" xfId="0" applyFont="1" applyBorder="1"/>
    <xf numFmtId="0" fontId="42" fillId="0" borderId="1" xfId="0" applyFont="1" applyBorder="1"/>
    <xf numFmtId="0" fontId="43" fillId="0" borderId="1" xfId="0" applyFont="1" applyBorder="1" applyAlignment="1">
      <alignment horizontal="center"/>
    </xf>
    <xf numFmtId="0" fontId="43" fillId="0" borderId="1" xfId="0" applyFont="1" applyBorder="1"/>
    <xf numFmtId="165" fontId="44" fillId="0" borderId="1" xfId="0" applyNumberFormat="1" applyFont="1" applyBorder="1"/>
    <xf numFmtId="164" fontId="44" fillId="0" borderId="1" xfId="0" applyNumberFormat="1" applyFont="1" applyBorder="1"/>
    <xf numFmtId="164" fontId="44" fillId="0" borderId="9" xfId="0" applyNumberFormat="1" applyFont="1" applyBorder="1" applyAlignment="1">
      <alignment horizontal="center"/>
    </xf>
    <xf numFmtId="0" fontId="46" fillId="0" borderId="10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52" fillId="2" borderId="4" xfId="0" applyFont="1" applyFill="1" applyBorder="1"/>
    <xf numFmtId="0" fontId="52" fillId="2" borderId="1" xfId="0" applyFont="1" applyFill="1" applyBorder="1"/>
    <xf numFmtId="0" fontId="53" fillId="2" borderId="1" xfId="0" applyFont="1" applyFill="1" applyBorder="1" applyAlignment="1">
      <alignment horizontal="center"/>
    </xf>
    <xf numFmtId="0" fontId="53" fillId="2" borderId="1" xfId="0" applyFont="1" applyFill="1" applyBorder="1"/>
    <xf numFmtId="165" fontId="54" fillId="2" borderId="1" xfId="0" applyNumberFormat="1" applyFont="1" applyFill="1" applyBorder="1"/>
    <xf numFmtId="164" fontId="54" fillId="2" borderId="1" xfId="0" applyNumberFormat="1" applyFont="1" applyFill="1" applyBorder="1"/>
    <xf numFmtId="164" fontId="54" fillId="2" borderId="9" xfId="0" applyNumberFormat="1" applyFont="1" applyFill="1" applyBorder="1" applyAlignment="1">
      <alignment horizontal="center"/>
    </xf>
    <xf numFmtId="0" fontId="55" fillId="2" borderId="10" xfId="0" applyFont="1" applyFill="1" applyBorder="1" applyAlignment="1">
      <alignment horizontal="center"/>
    </xf>
    <xf numFmtId="0" fontId="54" fillId="2" borderId="5" xfId="0" applyFont="1" applyFill="1" applyBorder="1" applyAlignment="1">
      <alignment horizontal="center"/>
    </xf>
    <xf numFmtId="164" fontId="54" fillId="2" borderId="1" xfId="0" applyNumberFormat="1" applyFont="1" applyFill="1" applyBorder="1" applyAlignment="1">
      <alignment horizontal="center"/>
    </xf>
    <xf numFmtId="0" fontId="52" fillId="2" borderId="29" xfId="0" applyFont="1" applyFill="1" applyBorder="1"/>
    <xf numFmtId="0" fontId="52" fillId="2" borderId="2" xfId="0" applyFont="1" applyFill="1" applyBorder="1"/>
    <xf numFmtId="0" fontId="53" fillId="2" borderId="2" xfId="0" applyFont="1" applyFill="1" applyBorder="1" applyAlignment="1">
      <alignment horizontal="center"/>
    </xf>
    <xf numFmtId="0" fontId="56" fillId="3" borderId="4" xfId="0" applyFont="1" applyFill="1" applyBorder="1"/>
    <xf numFmtId="0" fontId="56" fillId="3" borderId="1" xfId="0" applyFont="1" applyFill="1" applyBorder="1"/>
    <xf numFmtId="0" fontId="57" fillId="3" borderId="1" xfId="0" applyFont="1" applyFill="1" applyBorder="1" applyAlignment="1">
      <alignment horizontal="center"/>
    </xf>
    <xf numFmtId="0" fontId="57" fillId="3" borderId="1" xfId="0" applyFont="1" applyFill="1" applyBorder="1"/>
    <xf numFmtId="164" fontId="45" fillId="3" borderId="1" xfId="0" applyNumberFormat="1" applyFont="1" applyFill="1" applyBorder="1" applyAlignment="1">
      <alignment horizontal="center"/>
    </xf>
    <xf numFmtId="164" fontId="45" fillId="0" borderId="1" xfId="0" applyNumberFormat="1" applyFont="1" applyBorder="1" applyAlignment="1">
      <alignment horizontal="center"/>
    </xf>
    <xf numFmtId="0" fontId="58" fillId="3" borderId="10" xfId="0" applyFont="1" applyFill="1" applyBorder="1" applyAlignment="1">
      <alignment horizontal="center"/>
    </xf>
    <xf numFmtId="0" fontId="45" fillId="3" borderId="5" xfId="0" applyFont="1" applyFill="1" applyBorder="1" applyAlignment="1">
      <alignment horizontal="center"/>
    </xf>
    <xf numFmtId="0" fontId="58" fillId="4" borderId="0" xfId="0" applyFont="1" applyFill="1"/>
    <xf numFmtId="0" fontId="58" fillId="0" borderId="0" xfId="0" applyFont="1"/>
    <xf numFmtId="166" fontId="58" fillId="0" borderId="0" xfId="0" applyNumberFormat="1" applyFont="1" applyAlignment="1">
      <alignment horizontal="center"/>
    </xf>
    <xf numFmtId="164" fontId="44" fillId="3" borderId="1" xfId="0" applyNumberFormat="1" applyFont="1" applyFill="1" applyBorder="1" applyAlignment="1">
      <alignment horizontal="center"/>
    </xf>
    <xf numFmtId="0" fontId="42" fillId="14" borderId="9" xfId="0" applyFont="1" applyFill="1" applyBorder="1"/>
    <xf numFmtId="0" fontId="42" fillId="14" borderId="30" xfId="0" applyFont="1" applyFill="1" applyBorder="1"/>
    <xf numFmtId="0" fontId="59" fillId="14" borderId="30" xfId="0" applyFont="1" applyFill="1" applyBorder="1" applyAlignment="1">
      <alignment horizontal="center" vertical="top"/>
    </xf>
    <xf numFmtId="0" fontId="60" fillId="14" borderId="30" xfId="0" applyFont="1" applyFill="1" applyBorder="1"/>
    <xf numFmtId="165" fontId="44" fillId="14" borderId="30" xfId="0" applyNumberFormat="1" applyFont="1" applyFill="1" applyBorder="1"/>
    <xf numFmtId="164" fontId="44" fillId="14" borderId="30" xfId="0" applyNumberFormat="1" applyFont="1" applyFill="1" applyBorder="1"/>
    <xf numFmtId="166" fontId="51" fillId="6" borderId="18" xfId="0" applyNumberFormat="1" applyFont="1" applyFill="1" applyBorder="1" applyAlignment="1">
      <alignment horizontal="center"/>
    </xf>
    <xf numFmtId="166" fontId="51" fillId="2" borderId="1" xfId="0" applyNumberFormat="1" applyFont="1" applyFill="1" applyBorder="1" applyAlignment="1">
      <alignment horizontal="center"/>
    </xf>
    <xf numFmtId="166" fontId="51" fillId="3" borderId="1" xfId="0" applyNumberFormat="1" applyFont="1" applyFill="1" applyBorder="1" applyAlignment="1">
      <alignment horizontal="center"/>
    </xf>
    <xf numFmtId="166" fontId="51" fillId="18" borderId="1" xfId="0" applyNumberFormat="1" applyFont="1" applyFill="1" applyBorder="1" applyAlignment="1">
      <alignment horizontal="center"/>
    </xf>
    <xf numFmtId="166" fontId="51" fillId="9" borderId="1" xfId="0" applyNumberFormat="1" applyFont="1" applyFill="1" applyBorder="1" applyAlignment="1">
      <alignment horizontal="center"/>
    </xf>
    <xf numFmtId="166" fontId="51" fillId="12" borderId="1" xfId="0" applyNumberFormat="1" applyFont="1" applyFill="1" applyBorder="1" applyAlignment="1">
      <alignment horizontal="center"/>
    </xf>
    <xf numFmtId="166" fontId="61" fillId="10" borderId="1" xfId="0" applyNumberFormat="1" applyFont="1" applyFill="1" applyBorder="1" applyAlignment="1">
      <alignment horizontal="center"/>
    </xf>
    <xf numFmtId="166" fontId="51" fillId="8" borderId="1" xfId="0" applyNumberFormat="1" applyFont="1" applyFill="1" applyBorder="1" applyAlignment="1">
      <alignment horizontal="center"/>
    </xf>
    <xf numFmtId="166" fontId="61" fillId="13" borderId="1" xfId="0" applyNumberFormat="1" applyFont="1" applyFill="1" applyBorder="1" applyAlignment="1">
      <alignment horizontal="center"/>
    </xf>
    <xf numFmtId="166" fontId="61" fillId="0" borderId="0" xfId="0" applyNumberFormat="1" applyFont="1" applyBorder="1" applyAlignment="1">
      <alignment horizontal="center"/>
    </xf>
    <xf numFmtId="0" fontId="2" fillId="4" borderId="0" xfId="0" applyFont="1" applyFill="1"/>
    <xf numFmtId="164" fontId="44" fillId="3" borderId="9" xfId="0" applyNumberFormat="1" applyFont="1" applyFill="1" applyBorder="1" applyAlignment="1">
      <alignment horizontal="center"/>
    </xf>
    <xf numFmtId="0" fontId="52" fillId="0" borderId="4" xfId="0" applyFont="1" applyBorder="1"/>
    <xf numFmtId="0" fontId="52" fillId="0" borderId="1" xfId="0" applyFont="1" applyBorder="1"/>
    <xf numFmtId="0" fontId="53" fillId="0" borderId="1" xfId="0" applyFont="1" applyBorder="1" applyAlignment="1">
      <alignment horizontal="center"/>
    </xf>
    <xf numFmtId="0" fontId="53" fillId="0" borderId="1" xfId="0" applyFont="1" applyBorder="1"/>
    <xf numFmtId="165" fontId="54" fillId="0" borderId="1" xfId="0" applyNumberFormat="1" applyFont="1" applyBorder="1"/>
    <xf numFmtId="164" fontId="54" fillId="0" borderId="1" xfId="0" applyNumberFormat="1" applyFont="1" applyBorder="1"/>
    <xf numFmtId="164" fontId="54" fillId="0" borderId="9" xfId="0" applyNumberFormat="1" applyFont="1" applyBorder="1" applyAlignment="1">
      <alignment horizontal="center"/>
    </xf>
    <xf numFmtId="0" fontId="55" fillId="0" borderId="10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52" fillId="3" borderId="4" xfId="0" applyFont="1" applyFill="1" applyBorder="1"/>
    <xf numFmtId="0" fontId="52" fillId="3" borderId="1" xfId="0" applyFont="1" applyFill="1" applyBorder="1"/>
    <xf numFmtId="0" fontId="53" fillId="3" borderId="1" xfId="0" applyFont="1" applyFill="1" applyBorder="1" applyAlignment="1">
      <alignment horizontal="center"/>
    </xf>
    <xf numFmtId="0" fontId="53" fillId="3" borderId="1" xfId="0" applyFont="1" applyFill="1" applyBorder="1"/>
    <xf numFmtId="165" fontId="54" fillId="3" borderId="1" xfId="0" applyNumberFormat="1" applyFont="1" applyFill="1" applyBorder="1"/>
    <xf numFmtId="164" fontId="54" fillId="3" borderId="1" xfId="0" applyNumberFormat="1" applyFont="1" applyFill="1" applyBorder="1"/>
    <xf numFmtId="164" fontId="54" fillId="3" borderId="9" xfId="0" applyNumberFormat="1" applyFont="1" applyFill="1" applyBorder="1" applyAlignment="1">
      <alignment horizontal="center"/>
    </xf>
    <xf numFmtId="0" fontId="55" fillId="3" borderId="10" xfId="0" applyFont="1" applyFill="1" applyBorder="1" applyAlignment="1">
      <alignment horizontal="center"/>
    </xf>
    <xf numFmtId="0" fontId="54" fillId="3" borderId="5" xfId="0" applyFont="1" applyFill="1" applyBorder="1" applyAlignment="1">
      <alignment horizontal="center"/>
    </xf>
    <xf numFmtId="164" fontId="44" fillId="0" borderId="1" xfId="0" applyNumberFormat="1" applyFont="1" applyBorder="1" applyAlignment="1">
      <alignment horizontal="center"/>
    </xf>
    <xf numFmtId="164" fontId="44" fillId="0" borderId="11" xfId="0" applyNumberFormat="1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56" fillId="0" borderId="4" xfId="0" applyFont="1" applyBorder="1"/>
    <xf numFmtId="0" fontId="56" fillId="0" borderId="1" xfId="0" applyFont="1" applyBorder="1"/>
    <xf numFmtId="0" fontId="57" fillId="0" borderId="1" xfId="0" applyFont="1" applyBorder="1" applyAlignment="1">
      <alignment horizontal="center"/>
    </xf>
    <xf numFmtId="0" fontId="57" fillId="0" borderId="1" xfId="0" applyFont="1" applyBorder="1"/>
    <xf numFmtId="0" fontId="58" fillId="0" borderId="1" xfId="0" applyFont="1" applyBorder="1" applyAlignment="1">
      <alignment horizontal="center"/>
    </xf>
    <xf numFmtId="0" fontId="45" fillId="0" borderId="5" xfId="0" applyFont="1" applyBorder="1" applyAlignment="1">
      <alignment horizontal="center"/>
    </xf>
    <xf numFmtId="164" fontId="45" fillId="0" borderId="9" xfId="0" applyNumberFormat="1" applyFont="1" applyBorder="1" applyAlignment="1">
      <alignment horizontal="center"/>
    </xf>
    <xf numFmtId="0" fontId="58" fillId="5" borderId="10" xfId="0" applyFont="1" applyFill="1" applyBorder="1" applyAlignment="1">
      <alignment horizontal="center"/>
    </xf>
    <xf numFmtId="0" fontId="45" fillId="5" borderId="5" xfId="0" applyFont="1" applyFill="1" applyBorder="1" applyAlignment="1">
      <alignment horizontal="center"/>
    </xf>
    <xf numFmtId="0" fontId="58" fillId="0" borderId="10" xfId="0" applyFont="1" applyBorder="1" applyAlignment="1">
      <alignment horizontal="center"/>
    </xf>
    <xf numFmtId="0" fontId="42" fillId="5" borderId="4" xfId="0" applyFont="1" applyFill="1" applyBorder="1"/>
    <xf numFmtId="0" fontId="42" fillId="5" borderId="1" xfId="0" applyFont="1" applyFill="1" applyBorder="1"/>
    <xf numFmtId="0" fontId="43" fillId="5" borderId="1" xfId="0" applyFont="1" applyFill="1" applyBorder="1" applyAlignment="1">
      <alignment horizontal="center"/>
    </xf>
    <xf numFmtId="0" fontId="43" fillId="5" borderId="1" xfId="0" applyFont="1" applyFill="1" applyBorder="1"/>
    <xf numFmtId="165" fontId="44" fillId="5" borderId="1" xfId="0" applyNumberFormat="1" applyFont="1" applyFill="1" applyBorder="1"/>
    <xf numFmtId="164" fontId="44" fillId="5" borderId="1" xfId="0" applyNumberFormat="1" applyFont="1" applyFill="1" applyBorder="1"/>
    <xf numFmtId="164" fontId="44" fillId="5" borderId="15" xfId="0" applyNumberFormat="1" applyFont="1" applyFill="1" applyBorder="1" applyAlignment="1">
      <alignment horizontal="center"/>
    </xf>
    <xf numFmtId="164" fontId="44" fillId="5" borderId="11" xfId="0" applyNumberFormat="1" applyFont="1" applyFill="1" applyBorder="1" applyAlignment="1">
      <alignment horizontal="center"/>
    </xf>
    <xf numFmtId="0" fontId="62" fillId="21" borderId="4" xfId="0" applyFont="1" applyFill="1" applyBorder="1"/>
    <xf numFmtId="0" fontId="62" fillId="21" borderId="1" xfId="0" applyFont="1" applyFill="1" applyBorder="1"/>
    <xf numFmtId="0" fontId="63" fillId="21" borderId="1" xfId="0" applyFont="1" applyFill="1" applyBorder="1" applyAlignment="1">
      <alignment horizontal="center"/>
    </xf>
    <xf numFmtId="0" fontId="63" fillId="21" borderId="1" xfId="0" applyFont="1" applyFill="1" applyBorder="1"/>
    <xf numFmtId="165" fontId="64" fillId="21" borderId="1" xfId="0" applyNumberFormat="1" applyFont="1" applyFill="1" applyBorder="1"/>
    <xf numFmtId="164" fontId="64" fillId="21" borderId="1" xfId="0" applyNumberFormat="1" applyFont="1" applyFill="1" applyBorder="1"/>
    <xf numFmtId="164" fontId="64" fillId="21" borderId="9" xfId="0" applyNumberFormat="1" applyFont="1" applyFill="1" applyBorder="1" applyAlignment="1">
      <alignment horizontal="center"/>
    </xf>
    <xf numFmtId="0" fontId="65" fillId="21" borderId="10" xfId="0" applyFont="1" applyFill="1" applyBorder="1" applyAlignment="1">
      <alignment horizontal="center"/>
    </xf>
    <xf numFmtId="0" fontId="64" fillId="21" borderId="5" xfId="0" applyFont="1" applyFill="1" applyBorder="1" applyAlignment="1">
      <alignment horizontal="center"/>
    </xf>
    <xf numFmtId="164" fontId="66" fillId="3" borderId="1" xfId="0" applyNumberFormat="1" applyFont="1" applyFill="1" applyBorder="1"/>
    <xf numFmtId="164" fontId="66" fillId="3" borderId="9" xfId="0" applyNumberFormat="1" applyFont="1" applyFill="1" applyBorder="1" applyAlignment="1">
      <alignment horizontal="center"/>
    </xf>
    <xf numFmtId="0" fontId="67" fillId="3" borderId="10" xfId="0" applyFont="1" applyFill="1" applyBorder="1" applyAlignment="1">
      <alignment horizontal="center"/>
    </xf>
    <xf numFmtId="164" fontId="66" fillId="0" borderId="1" xfId="0" applyNumberFormat="1" applyFont="1" applyBorder="1"/>
    <xf numFmtId="164" fontId="66" fillId="0" borderId="9" xfId="0" applyNumberFormat="1" applyFont="1" applyBorder="1" applyAlignment="1">
      <alignment horizontal="center"/>
    </xf>
    <xf numFmtId="0" fontId="67" fillId="0" borderId="10" xfId="0" applyFont="1" applyBorder="1" applyAlignment="1">
      <alignment horizontal="center"/>
    </xf>
    <xf numFmtId="164" fontId="36" fillId="0" borderId="1" xfId="0" applyNumberFormat="1" applyFont="1" applyBorder="1"/>
    <xf numFmtId="164" fontId="68" fillId="0" borderId="1" xfId="0" applyNumberFormat="1" applyFont="1" applyBorder="1" applyAlignment="1">
      <alignment horizontal="center"/>
    </xf>
    <xf numFmtId="0" fontId="69" fillId="0" borderId="1" xfId="0" applyFont="1" applyBorder="1" applyAlignment="1">
      <alignment horizontal="center"/>
    </xf>
    <xf numFmtId="164" fontId="37" fillId="0" borderId="1" xfId="0" applyNumberFormat="1" applyFont="1" applyBorder="1"/>
    <xf numFmtId="164" fontId="37" fillId="0" borderId="9" xfId="0" applyNumberFormat="1" applyFont="1" applyBorder="1" applyAlignment="1">
      <alignment horizontal="center"/>
    </xf>
    <xf numFmtId="0" fontId="38" fillId="0" borderId="10" xfId="0" applyFont="1" applyBorder="1" applyAlignment="1">
      <alignment horizontal="center"/>
    </xf>
    <xf numFmtId="164" fontId="36" fillId="3" borderId="1" xfId="0" applyNumberFormat="1" applyFont="1" applyFill="1" applyBorder="1"/>
    <xf numFmtId="164" fontId="68" fillId="3" borderId="1" xfId="0" applyNumberFormat="1" applyFont="1" applyFill="1" applyBorder="1" applyAlignment="1">
      <alignment horizontal="center"/>
    </xf>
    <xf numFmtId="0" fontId="69" fillId="3" borderId="1" xfId="0" applyFont="1" applyFill="1" applyBorder="1" applyAlignment="1">
      <alignment horizontal="center"/>
    </xf>
    <xf numFmtId="164" fontId="37" fillId="3" borderId="1" xfId="0" applyNumberFormat="1" applyFont="1" applyFill="1" applyBorder="1"/>
    <xf numFmtId="164" fontId="37" fillId="3" borderId="9" xfId="0" applyNumberFormat="1" applyFont="1" applyFill="1" applyBorder="1" applyAlignment="1">
      <alignment horizontal="center"/>
    </xf>
    <xf numFmtId="0" fontId="38" fillId="3" borderId="10" xfId="0" applyFont="1" applyFill="1" applyBorder="1" applyAlignment="1">
      <alignment horizontal="center"/>
    </xf>
    <xf numFmtId="164" fontId="66" fillId="0" borderId="11" xfId="0" applyNumberFormat="1" applyFont="1" applyBorder="1" applyAlignment="1">
      <alignment horizontal="center"/>
    </xf>
    <xf numFmtId="164" fontId="36" fillId="0" borderId="2" xfId="0" applyNumberFormat="1" applyFont="1" applyBorder="1" applyAlignment="1">
      <alignment horizontal="center"/>
    </xf>
    <xf numFmtId="0" fontId="66" fillId="3" borderId="1" xfId="0" applyFont="1" applyFill="1" applyBorder="1" applyAlignment="1">
      <alignment horizontal="center"/>
    </xf>
    <xf numFmtId="0" fontId="66" fillId="0" borderId="1" xfId="0" applyFont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68" fillId="3" borderId="1" xfId="0" applyFont="1" applyFill="1" applyBorder="1" applyAlignment="1">
      <alignment horizontal="center"/>
    </xf>
    <xf numFmtId="0" fontId="37" fillId="3" borderId="1" xfId="0" applyFont="1" applyFill="1" applyBorder="1" applyAlignment="1">
      <alignment horizontal="center"/>
    </xf>
    <xf numFmtId="164" fontId="66" fillId="0" borderId="1" xfId="0" applyNumberFormat="1" applyFont="1" applyBorder="1" applyAlignment="1">
      <alignment horizontal="center"/>
    </xf>
    <xf numFmtId="0" fontId="67" fillId="0" borderId="1" xfId="0" applyFont="1" applyBorder="1" applyAlignment="1">
      <alignment horizontal="center"/>
    </xf>
    <xf numFmtId="164" fontId="36" fillId="0" borderId="1" xfId="0" applyNumberFormat="1" applyFont="1" applyBorder="1" applyAlignment="1">
      <alignment horizontal="center"/>
    </xf>
    <xf numFmtId="0" fontId="70" fillId="0" borderId="1" xfId="0" applyFont="1" applyBorder="1" applyAlignment="1">
      <alignment horizontal="center"/>
    </xf>
    <xf numFmtId="164" fontId="36" fillId="0" borderId="9" xfId="0" applyNumberFormat="1" applyFont="1" applyBorder="1" applyAlignment="1">
      <alignment horizontal="center"/>
    </xf>
    <xf numFmtId="0" fontId="70" fillId="5" borderId="10" xfId="0" applyFont="1" applyFill="1" applyBorder="1" applyAlignment="1">
      <alignment horizontal="center"/>
    </xf>
    <xf numFmtId="0" fontId="70" fillId="0" borderId="10" xfId="0" applyFont="1" applyBorder="1" applyAlignment="1">
      <alignment horizontal="center"/>
    </xf>
    <xf numFmtId="164" fontId="66" fillId="5" borderId="1" xfId="0" applyNumberFormat="1" applyFont="1" applyFill="1" applyBorder="1"/>
    <xf numFmtId="164" fontId="66" fillId="5" borderId="11" xfId="0" applyNumberFormat="1" applyFont="1" applyFill="1" applyBorder="1" applyAlignment="1">
      <alignment horizontal="center"/>
    </xf>
    <xf numFmtId="164" fontId="66" fillId="0" borderId="2" xfId="0" applyNumberFormat="1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6" fillId="5" borderId="1" xfId="0" applyFont="1" applyFill="1" applyBorder="1" applyAlignment="1">
      <alignment horizontal="center"/>
    </xf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168" fontId="66" fillId="3" borderId="1" xfId="0" applyNumberFormat="1" applyFont="1" applyFill="1" applyBorder="1"/>
    <xf numFmtId="168" fontId="66" fillId="0" borderId="1" xfId="0" applyNumberFormat="1" applyFont="1" applyBorder="1"/>
    <xf numFmtId="168" fontId="36" fillId="0" borderId="1" xfId="0" applyNumberFormat="1" applyFont="1" applyBorder="1"/>
    <xf numFmtId="168" fontId="37" fillId="0" borderId="1" xfId="0" applyNumberFormat="1" applyFont="1" applyBorder="1"/>
    <xf numFmtId="168" fontId="36" fillId="3" borderId="1" xfId="0" applyNumberFormat="1" applyFont="1" applyFill="1" applyBorder="1"/>
    <xf numFmtId="168" fontId="37" fillId="3" borderId="1" xfId="0" applyNumberFormat="1" applyFont="1" applyFill="1" applyBorder="1"/>
    <xf numFmtId="168" fontId="66" fillId="5" borderId="1" xfId="0" applyNumberFormat="1" applyFont="1" applyFill="1" applyBorder="1"/>
    <xf numFmtId="168" fontId="37" fillId="2" borderId="1" xfId="0" applyNumberFormat="1" applyFont="1" applyFill="1" applyBorder="1"/>
    <xf numFmtId="168" fontId="39" fillId="9" borderId="11" xfId="0" applyNumberFormat="1" applyFont="1" applyFill="1" applyBorder="1" applyAlignment="1">
      <alignment horizontal="center"/>
    </xf>
    <xf numFmtId="168" fontId="40" fillId="0" borderId="0" xfId="0" applyNumberFormat="1" applyFont="1" applyAlignment="1">
      <alignment horizontal="center"/>
    </xf>
    <xf numFmtId="168" fontId="41" fillId="20" borderId="9" xfId="0" applyNumberFormat="1" applyFont="1" applyFill="1" applyBorder="1"/>
    <xf numFmtId="168" fontId="41" fillId="20" borderId="30" xfId="0" applyNumberFormat="1" applyFont="1" applyFill="1" applyBorder="1"/>
    <xf numFmtId="168" fontId="41" fillId="20" borderId="10" xfId="0" applyNumberFormat="1" applyFont="1" applyFill="1" applyBorder="1"/>
    <xf numFmtId="0" fontId="73" fillId="8" borderId="4" xfId="0" applyFont="1" applyFill="1" applyBorder="1"/>
    <xf numFmtId="0" fontId="73" fillId="8" borderId="1" xfId="0" applyFont="1" applyFill="1" applyBorder="1"/>
    <xf numFmtId="0" fontId="74" fillId="8" borderId="1" xfId="0" applyFont="1" applyFill="1" applyBorder="1" applyAlignment="1">
      <alignment horizontal="center"/>
    </xf>
    <xf numFmtId="0" fontId="74" fillId="8" borderId="1" xfId="0" applyFont="1" applyFill="1" applyBorder="1"/>
    <xf numFmtId="165" fontId="75" fillId="8" borderId="1" xfId="0" applyNumberFormat="1" applyFont="1" applyFill="1" applyBorder="1"/>
    <xf numFmtId="164" fontId="75" fillId="8" borderId="1" xfId="0" applyNumberFormat="1" applyFont="1" applyFill="1" applyBorder="1"/>
    <xf numFmtId="164" fontId="75" fillId="8" borderId="9" xfId="0" applyNumberFormat="1" applyFont="1" applyFill="1" applyBorder="1" applyAlignment="1">
      <alignment horizontal="center"/>
    </xf>
    <xf numFmtId="0" fontId="76" fillId="8" borderId="10" xfId="0" applyFont="1" applyFill="1" applyBorder="1" applyAlignment="1">
      <alignment horizontal="center"/>
    </xf>
    <xf numFmtId="0" fontId="75" fillId="8" borderId="5" xfId="0" applyFont="1" applyFill="1" applyBorder="1" applyAlignment="1">
      <alignment horizontal="center"/>
    </xf>
    <xf numFmtId="164" fontId="77" fillId="8" borderId="1" xfId="0" applyNumberFormat="1" applyFont="1" applyFill="1" applyBorder="1"/>
    <xf numFmtId="164" fontId="77" fillId="8" borderId="9" xfId="0" applyNumberFormat="1" applyFont="1" applyFill="1" applyBorder="1" applyAlignment="1">
      <alignment horizontal="center"/>
    </xf>
    <xf numFmtId="0" fontId="78" fillId="8" borderId="10" xfId="0" applyFont="1" applyFill="1" applyBorder="1" applyAlignment="1">
      <alignment horizontal="center"/>
    </xf>
    <xf numFmtId="0" fontId="77" fillId="8" borderId="1" xfId="0" applyFont="1" applyFill="1" applyBorder="1" applyAlignment="1">
      <alignment horizontal="center"/>
    </xf>
    <xf numFmtId="168" fontId="77" fillId="8" borderId="1" xfId="0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7FA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377"/>
  <sheetViews>
    <sheetView zoomScaleNormal="100" zoomScaleSheetLayoutView="100" workbookViewId="0">
      <pane ySplit="2" topLeftCell="A77" activePane="bottomLeft" state="frozen"/>
      <selection pane="bottomLeft" activeCell="E96" sqref="E96:J111"/>
    </sheetView>
  </sheetViews>
  <sheetFormatPr defaultRowHeight="15" x14ac:dyDescent="0.25"/>
  <cols>
    <col min="1" max="2" width="10.140625" style="6" customWidth="1"/>
    <col min="3" max="3" width="3.5703125" style="35" customWidth="1"/>
    <col min="4" max="4" width="13.140625" style="5" customWidth="1"/>
    <col min="5" max="5" width="12" style="44" bestFit="1" customWidth="1"/>
    <col min="6" max="6" width="10.140625" style="202" customWidth="1"/>
    <col min="7" max="7" width="9" style="223" customWidth="1"/>
    <col min="8" max="8" width="9.7109375" style="224" customWidth="1"/>
    <col min="9" max="9" width="6.28515625" style="50" customWidth="1"/>
    <col min="10" max="10" width="7.42578125" style="54" customWidth="1"/>
    <col min="11" max="11" width="4.42578125" style="4" hidden="1" customWidth="1"/>
    <col min="12" max="12" width="9.140625" hidden="1" customWidth="1"/>
    <col min="13" max="13" width="7.5703125" style="50" customWidth="1"/>
    <col min="14" max="14" width="4.85546875" style="47" customWidth="1"/>
    <col min="15" max="39" width="4.85546875" style="46" customWidth="1"/>
    <col min="41" max="41" width="20.85546875" customWidth="1"/>
    <col min="42" max="42" width="7.5703125" bestFit="1" customWidth="1"/>
    <col min="43" max="43" width="5.85546875" customWidth="1"/>
  </cols>
  <sheetData>
    <row r="1" spans="1:43" s="50" customFormat="1" ht="41.25" thickBot="1" x14ac:dyDescent="0.3">
      <c r="A1" s="83" t="s">
        <v>30</v>
      </c>
      <c r="B1" s="84" t="s">
        <v>29</v>
      </c>
      <c r="C1" s="84" t="s">
        <v>27</v>
      </c>
      <c r="D1" s="84" t="s">
        <v>26</v>
      </c>
      <c r="E1" s="85" t="s">
        <v>0</v>
      </c>
      <c r="F1" s="189" t="s">
        <v>1</v>
      </c>
      <c r="G1" s="86" t="s">
        <v>4</v>
      </c>
      <c r="H1" s="86" t="s">
        <v>5</v>
      </c>
      <c r="I1" s="84" t="s">
        <v>2</v>
      </c>
      <c r="J1" s="87" t="s">
        <v>3</v>
      </c>
      <c r="K1" s="36" t="s">
        <v>25</v>
      </c>
      <c r="L1" s="54"/>
      <c r="M1" s="88" t="s">
        <v>33</v>
      </c>
      <c r="N1" s="89" t="s">
        <v>31</v>
      </c>
      <c r="O1" s="90" t="s">
        <v>19</v>
      </c>
      <c r="P1" s="90" t="s">
        <v>18</v>
      </c>
      <c r="Q1" s="90" t="s">
        <v>22</v>
      </c>
      <c r="R1" s="91" t="s">
        <v>24</v>
      </c>
      <c r="S1" s="91" t="s">
        <v>20</v>
      </c>
      <c r="T1" s="91" t="s">
        <v>192</v>
      </c>
      <c r="U1" s="91" t="s">
        <v>73</v>
      </c>
      <c r="V1" s="122" t="s">
        <v>21</v>
      </c>
      <c r="W1" s="91" t="s">
        <v>104</v>
      </c>
      <c r="X1" s="93" t="s">
        <v>102</v>
      </c>
      <c r="Y1" s="93" t="s">
        <v>23</v>
      </c>
      <c r="Z1" s="93" t="s">
        <v>77</v>
      </c>
      <c r="AA1" s="93" t="s">
        <v>28</v>
      </c>
      <c r="AB1" s="94" t="s">
        <v>74</v>
      </c>
      <c r="AC1" s="94" t="s">
        <v>75</v>
      </c>
      <c r="AD1" s="94" t="s">
        <v>106</v>
      </c>
      <c r="AE1" s="94" t="s">
        <v>107</v>
      </c>
      <c r="AF1" s="94" t="s">
        <v>108</v>
      </c>
      <c r="AG1" s="92" t="s">
        <v>105</v>
      </c>
      <c r="AH1" s="92" t="s">
        <v>112</v>
      </c>
      <c r="AI1" s="92" t="s">
        <v>193</v>
      </c>
      <c r="AJ1" s="92" t="s">
        <v>103</v>
      </c>
      <c r="AK1" s="95" t="s">
        <v>109</v>
      </c>
      <c r="AL1" s="95" t="s">
        <v>110</v>
      </c>
      <c r="AM1" s="95" t="s">
        <v>111</v>
      </c>
      <c r="AP1" s="50" t="s">
        <v>3</v>
      </c>
    </row>
    <row r="2" spans="1:43" ht="13.5" customHeight="1" thickBot="1" x14ac:dyDescent="0.3">
      <c r="A2" s="103"/>
      <c r="B2" s="104"/>
      <c r="C2" s="105"/>
      <c r="D2" s="106"/>
      <c r="E2" s="107"/>
      <c r="F2" s="190"/>
      <c r="G2" s="203"/>
      <c r="H2" s="204"/>
      <c r="I2" s="162"/>
      <c r="J2" s="51" t="s">
        <v>114</v>
      </c>
      <c r="K2" s="3"/>
      <c r="M2" s="108">
        <f t="shared" ref="M2:AM2" si="0">SUM(M3:M1007)/2</f>
        <v>10085</v>
      </c>
      <c r="N2" s="109">
        <f t="shared" si="0"/>
        <v>1220</v>
      </c>
      <c r="O2" s="110">
        <f t="shared" si="0"/>
        <v>765</v>
      </c>
      <c r="P2" s="110">
        <f t="shared" si="0"/>
        <v>950</v>
      </c>
      <c r="Q2" s="110">
        <f t="shared" si="0"/>
        <v>505</v>
      </c>
      <c r="R2" s="110">
        <f t="shared" si="0"/>
        <v>370</v>
      </c>
      <c r="S2" s="110">
        <f t="shared" si="0"/>
        <v>1020</v>
      </c>
      <c r="T2" s="110">
        <f t="shared" si="0"/>
        <v>0</v>
      </c>
      <c r="U2" s="110">
        <f t="shared" si="0"/>
        <v>435</v>
      </c>
      <c r="V2" s="123">
        <f t="shared" si="0"/>
        <v>815</v>
      </c>
      <c r="W2" s="110">
        <f t="shared" si="0"/>
        <v>590</v>
      </c>
      <c r="X2" s="112">
        <f t="shared" si="0"/>
        <v>420</v>
      </c>
      <c r="Y2" s="112">
        <f t="shared" si="0"/>
        <v>500</v>
      </c>
      <c r="Z2" s="112">
        <f t="shared" si="0"/>
        <v>220</v>
      </c>
      <c r="AA2" s="112">
        <f t="shared" si="0"/>
        <v>355</v>
      </c>
      <c r="AB2" s="113">
        <f t="shared" si="0"/>
        <v>140</v>
      </c>
      <c r="AC2" s="113">
        <f t="shared" si="0"/>
        <v>350</v>
      </c>
      <c r="AD2" s="113">
        <f t="shared" si="0"/>
        <v>865</v>
      </c>
      <c r="AE2" s="113">
        <f t="shared" si="0"/>
        <v>355</v>
      </c>
      <c r="AF2" s="113">
        <f t="shared" si="0"/>
        <v>210</v>
      </c>
      <c r="AG2" s="111">
        <f t="shared" si="0"/>
        <v>0</v>
      </c>
      <c r="AH2" s="111">
        <f t="shared" si="0"/>
        <v>0</v>
      </c>
      <c r="AI2" s="111">
        <f t="shared" si="0"/>
        <v>0</v>
      </c>
      <c r="AJ2" s="111">
        <f t="shared" si="0"/>
        <v>0</v>
      </c>
      <c r="AK2" s="114">
        <f t="shared" si="0"/>
        <v>0</v>
      </c>
      <c r="AL2" s="114">
        <f t="shared" si="0"/>
        <v>0</v>
      </c>
      <c r="AM2" s="114">
        <f t="shared" si="0"/>
        <v>0</v>
      </c>
      <c r="AN2" s="115">
        <f>SUM(N2:AM2)</f>
        <v>10085</v>
      </c>
      <c r="AO2" s="121" t="s">
        <v>117</v>
      </c>
    </row>
    <row r="3" spans="1:43" s="70" customFormat="1" x14ac:dyDescent="0.25">
      <c r="A3" s="229" t="s">
        <v>89</v>
      </c>
      <c r="B3" s="230" t="s">
        <v>90</v>
      </c>
      <c r="C3" s="231">
        <v>1</v>
      </c>
      <c r="D3" s="232" t="s">
        <v>91</v>
      </c>
      <c r="E3" s="233">
        <v>46073</v>
      </c>
      <c r="F3" s="234">
        <v>0.6875</v>
      </c>
      <c r="G3" s="235" t="s">
        <v>137</v>
      </c>
      <c r="H3" s="236"/>
      <c r="I3" s="237" t="s">
        <v>186</v>
      </c>
      <c r="J3" s="238" t="s">
        <v>188</v>
      </c>
      <c r="K3" s="239">
        <f t="shared" ref="K3:K15" si="1">WEEKDAY(E3)</f>
        <v>6</v>
      </c>
      <c r="L3" s="70">
        <f t="shared" ref="L3:L50" si="2">IF(G3=L$1,1,IF(H3=L$1,1,""))</f>
        <v>1</v>
      </c>
      <c r="M3" s="240">
        <f t="shared" ref="M3:M20" si="3">SUM(N3:AM3)</f>
        <v>0</v>
      </c>
      <c r="N3" s="241">
        <f>IF(G3 &lt;&gt; "Cancel",IF(H3&lt;&gt;"",20,10),0)</f>
        <v>0</v>
      </c>
      <c r="O3" s="240">
        <f t="shared" ref="O3:X12" si="4">IF($G3=O$1,VLOOKUP($J3,$AP:$AQ,2,FALSE),IF($H3=O$1,70,0))</f>
        <v>0</v>
      </c>
      <c r="P3" s="240">
        <f t="shared" si="4"/>
        <v>0</v>
      </c>
      <c r="Q3" s="240">
        <f t="shared" si="4"/>
        <v>0</v>
      </c>
      <c r="R3" s="240">
        <f t="shared" si="4"/>
        <v>0</v>
      </c>
      <c r="S3" s="240">
        <f t="shared" si="4"/>
        <v>0</v>
      </c>
      <c r="T3" s="240">
        <f t="shared" si="4"/>
        <v>0</v>
      </c>
      <c r="U3" s="240">
        <f t="shared" si="4"/>
        <v>0</v>
      </c>
      <c r="V3" s="240">
        <f t="shared" si="4"/>
        <v>0</v>
      </c>
      <c r="W3" s="240">
        <f t="shared" si="4"/>
        <v>0</v>
      </c>
      <c r="X3" s="240">
        <f t="shared" si="4"/>
        <v>0</v>
      </c>
      <c r="Y3" s="240">
        <f t="shared" ref="Y3:AM12" si="5">IF($G3=Y$1,VLOOKUP($J3,$AP:$AQ,2,FALSE),IF($H3=Y$1,70,0))</f>
        <v>0</v>
      </c>
      <c r="Z3" s="240">
        <f t="shared" si="5"/>
        <v>0</v>
      </c>
      <c r="AA3" s="240">
        <f t="shared" si="5"/>
        <v>0</v>
      </c>
      <c r="AB3" s="240">
        <f t="shared" si="5"/>
        <v>0</v>
      </c>
      <c r="AC3" s="240">
        <f t="shared" si="5"/>
        <v>0</v>
      </c>
      <c r="AD3" s="240">
        <f t="shared" si="5"/>
        <v>0</v>
      </c>
      <c r="AE3" s="240">
        <f t="shared" si="5"/>
        <v>0</v>
      </c>
      <c r="AF3" s="240">
        <f t="shared" si="5"/>
        <v>0</v>
      </c>
      <c r="AG3" s="240">
        <f t="shared" si="5"/>
        <v>0</v>
      </c>
      <c r="AH3" s="240">
        <f t="shared" si="5"/>
        <v>0</v>
      </c>
      <c r="AI3" s="240">
        <f t="shared" si="5"/>
        <v>0</v>
      </c>
      <c r="AJ3" s="240">
        <f t="shared" si="5"/>
        <v>0</v>
      </c>
      <c r="AK3" s="240">
        <f t="shared" si="5"/>
        <v>0</v>
      </c>
      <c r="AL3" s="240">
        <f t="shared" si="5"/>
        <v>0</v>
      </c>
      <c r="AM3" s="240">
        <f t="shared" si="5"/>
        <v>0</v>
      </c>
      <c r="AP3" s="70" t="s">
        <v>188</v>
      </c>
      <c r="AQ3" s="70">
        <v>75</v>
      </c>
    </row>
    <row r="4" spans="1:43" s="70" customFormat="1" x14ac:dyDescent="0.25">
      <c r="A4" s="242" t="s">
        <v>92</v>
      </c>
      <c r="B4" s="243" t="s">
        <v>93</v>
      </c>
      <c r="C4" s="244">
        <v>1</v>
      </c>
      <c r="D4" s="245" t="s">
        <v>91</v>
      </c>
      <c r="E4" s="246">
        <v>46073</v>
      </c>
      <c r="F4" s="247">
        <v>0.79166666666666663</v>
      </c>
      <c r="G4" s="235" t="s">
        <v>137</v>
      </c>
      <c r="H4" s="248" t="s">
        <v>137</v>
      </c>
      <c r="I4" s="249" t="s">
        <v>186</v>
      </c>
      <c r="J4" s="250" t="s">
        <v>190</v>
      </c>
      <c r="K4" s="239">
        <f t="shared" si="1"/>
        <v>6</v>
      </c>
      <c r="L4" s="70" t="str">
        <f t="shared" si="2"/>
        <v/>
      </c>
      <c r="M4" s="240">
        <f t="shared" si="3"/>
        <v>0</v>
      </c>
      <c r="N4" s="241">
        <f t="shared" ref="N4:N15" si="6">IF(G4 &lt;&gt; "Cancel",IF(H4&lt;&gt;"",20,10),0)</f>
        <v>0</v>
      </c>
      <c r="O4" s="240">
        <f t="shared" si="4"/>
        <v>0</v>
      </c>
      <c r="P4" s="240">
        <f t="shared" si="4"/>
        <v>0</v>
      </c>
      <c r="Q4" s="240">
        <f t="shared" si="4"/>
        <v>0</v>
      </c>
      <c r="R4" s="240">
        <f t="shared" si="4"/>
        <v>0</v>
      </c>
      <c r="S4" s="240">
        <f t="shared" si="4"/>
        <v>0</v>
      </c>
      <c r="T4" s="240">
        <f t="shared" si="4"/>
        <v>0</v>
      </c>
      <c r="U4" s="240">
        <f t="shared" si="4"/>
        <v>0</v>
      </c>
      <c r="V4" s="240">
        <f t="shared" si="4"/>
        <v>0</v>
      </c>
      <c r="W4" s="240">
        <f t="shared" si="4"/>
        <v>0</v>
      </c>
      <c r="X4" s="240">
        <f t="shared" si="4"/>
        <v>0</v>
      </c>
      <c r="Y4" s="240">
        <f t="shared" si="5"/>
        <v>0</v>
      </c>
      <c r="Z4" s="240">
        <f t="shared" si="5"/>
        <v>0</v>
      </c>
      <c r="AA4" s="240">
        <f t="shared" si="5"/>
        <v>0</v>
      </c>
      <c r="AB4" s="240">
        <f t="shared" si="5"/>
        <v>0</v>
      </c>
      <c r="AC4" s="240">
        <f t="shared" si="5"/>
        <v>0</v>
      </c>
      <c r="AD4" s="240">
        <f t="shared" si="5"/>
        <v>0</v>
      </c>
      <c r="AE4" s="240">
        <f t="shared" si="5"/>
        <v>0</v>
      </c>
      <c r="AF4" s="240">
        <f t="shared" si="5"/>
        <v>0</v>
      </c>
      <c r="AG4" s="240">
        <f t="shared" si="5"/>
        <v>0</v>
      </c>
      <c r="AH4" s="240">
        <f t="shared" si="5"/>
        <v>0</v>
      </c>
      <c r="AI4" s="240">
        <f t="shared" si="5"/>
        <v>0</v>
      </c>
      <c r="AJ4" s="240">
        <f t="shared" si="5"/>
        <v>0</v>
      </c>
      <c r="AK4" s="240">
        <f t="shared" si="5"/>
        <v>0</v>
      </c>
      <c r="AL4" s="240">
        <f t="shared" si="5"/>
        <v>0</v>
      </c>
      <c r="AM4" s="240">
        <f t="shared" si="5"/>
        <v>0</v>
      </c>
      <c r="AP4" s="70" t="s">
        <v>189</v>
      </c>
      <c r="AQ4" s="70">
        <v>70</v>
      </c>
    </row>
    <row r="5" spans="1:43" s="70" customFormat="1" x14ac:dyDescent="0.25">
      <c r="A5" s="251" t="s">
        <v>94</v>
      </c>
      <c r="B5" s="252" t="s">
        <v>95</v>
      </c>
      <c r="C5" s="253">
        <v>1</v>
      </c>
      <c r="D5" s="254" t="s">
        <v>91</v>
      </c>
      <c r="E5" s="255">
        <v>46073</v>
      </c>
      <c r="F5" s="256">
        <v>0.6875</v>
      </c>
      <c r="G5" s="235" t="s">
        <v>137</v>
      </c>
      <c r="H5" s="236"/>
      <c r="I5" s="257" t="s">
        <v>187</v>
      </c>
      <c r="J5" s="258" t="s">
        <v>188</v>
      </c>
      <c r="K5" s="239">
        <f t="shared" si="1"/>
        <v>6</v>
      </c>
      <c r="L5" s="70">
        <f t="shared" si="2"/>
        <v>1</v>
      </c>
      <c r="M5" s="240">
        <f t="shared" si="3"/>
        <v>0</v>
      </c>
      <c r="N5" s="241">
        <f t="shared" si="6"/>
        <v>0</v>
      </c>
      <c r="O5" s="240">
        <f t="shared" si="4"/>
        <v>0</v>
      </c>
      <c r="P5" s="240">
        <f t="shared" si="4"/>
        <v>0</v>
      </c>
      <c r="Q5" s="240">
        <f t="shared" si="4"/>
        <v>0</v>
      </c>
      <c r="R5" s="240">
        <f t="shared" si="4"/>
        <v>0</v>
      </c>
      <c r="S5" s="240">
        <f t="shared" si="4"/>
        <v>0</v>
      </c>
      <c r="T5" s="240">
        <f t="shared" si="4"/>
        <v>0</v>
      </c>
      <c r="U5" s="240">
        <f t="shared" si="4"/>
        <v>0</v>
      </c>
      <c r="V5" s="240">
        <f t="shared" si="4"/>
        <v>0</v>
      </c>
      <c r="W5" s="240">
        <f t="shared" si="4"/>
        <v>0</v>
      </c>
      <c r="X5" s="240">
        <f t="shared" si="4"/>
        <v>0</v>
      </c>
      <c r="Y5" s="240">
        <f t="shared" si="5"/>
        <v>0</v>
      </c>
      <c r="Z5" s="240">
        <f t="shared" si="5"/>
        <v>0</v>
      </c>
      <c r="AA5" s="240">
        <f t="shared" si="5"/>
        <v>0</v>
      </c>
      <c r="AB5" s="240">
        <f t="shared" si="5"/>
        <v>0</v>
      </c>
      <c r="AC5" s="240">
        <f t="shared" si="5"/>
        <v>0</v>
      </c>
      <c r="AD5" s="240">
        <f t="shared" si="5"/>
        <v>0</v>
      </c>
      <c r="AE5" s="240">
        <f t="shared" si="5"/>
        <v>0</v>
      </c>
      <c r="AF5" s="240">
        <f t="shared" si="5"/>
        <v>0</v>
      </c>
      <c r="AG5" s="240">
        <f t="shared" si="5"/>
        <v>0</v>
      </c>
      <c r="AH5" s="240">
        <f t="shared" si="5"/>
        <v>0</v>
      </c>
      <c r="AI5" s="240">
        <f t="shared" si="5"/>
        <v>0</v>
      </c>
      <c r="AJ5" s="240">
        <f t="shared" si="5"/>
        <v>0</v>
      </c>
      <c r="AK5" s="240">
        <f t="shared" si="5"/>
        <v>0</v>
      </c>
      <c r="AL5" s="240">
        <f t="shared" si="5"/>
        <v>0</v>
      </c>
      <c r="AM5" s="240">
        <f t="shared" si="5"/>
        <v>0</v>
      </c>
      <c r="AP5" s="70" t="s">
        <v>190</v>
      </c>
      <c r="AQ5" s="70">
        <v>75</v>
      </c>
    </row>
    <row r="6" spans="1:43" s="70" customFormat="1" x14ac:dyDescent="0.25">
      <c r="A6" s="251" t="s">
        <v>93</v>
      </c>
      <c r="B6" s="252" t="s">
        <v>96</v>
      </c>
      <c r="C6" s="253">
        <v>1</v>
      </c>
      <c r="D6" s="254" t="s">
        <v>91</v>
      </c>
      <c r="E6" s="255">
        <v>46073</v>
      </c>
      <c r="F6" s="256">
        <v>0.79166666666666663</v>
      </c>
      <c r="G6" s="235" t="s">
        <v>137</v>
      </c>
      <c r="H6" s="236"/>
      <c r="I6" s="257" t="s">
        <v>187</v>
      </c>
      <c r="J6" s="258" t="s">
        <v>188</v>
      </c>
      <c r="K6" s="239">
        <f t="shared" si="1"/>
        <v>6</v>
      </c>
      <c r="L6" s="70">
        <f t="shared" si="2"/>
        <v>1</v>
      </c>
      <c r="M6" s="240">
        <f t="shared" si="3"/>
        <v>0</v>
      </c>
      <c r="N6" s="241">
        <f t="shared" si="6"/>
        <v>0</v>
      </c>
      <c r="O6" s="240">
        <f t="shared" si="4"/>
        <v>0</v>
      </c>
      <c r="P6" s="240">
        <f t="shared" si="4"/>
        <v>0</v>
      </c>
      <c r="Q6" s="240">
        <f t="shared" si="4"/>
        <v>0</v>
      </c>
      <c r="R6" s="240">
        <f t="shared" si="4"/>
        <v>0</v>
      </c>
      <c r="S6" s="240">
        <f t="shared" si="4"/>
        <v>0</v>
      </c>
      <c r="T6" s="240">
        <f t="shared" si="4"/>
        <v>0</v>
      </c>
      <c r="U6" s="240">
        <f t="shared" si="4"/>
        <v>0</v>
      </c>
      <c r="V6" s="240">
        <f t="shared" si="4"/>
        <v>0</v>
      </c>
      <c r="W6" s="240">
        <f t="shared" si="4"/>
        <v>0</v>
      </c>
      <c r="X6" s="240">
        <f t="shared" si="4"/>
        <v>0</v>
      </c>
      <c r="Y6" s="240">
        <f t="shared" si="5"/>
        <v>0</v>
      </c>
      <c r="Z6" s="240">
        <f t="shared" si="5"/>
        <v>0</v>
      </c>
      <c r="AA6" s="240">
        <f t="shared" si="5"/>
        <v>0</v>
      </c>
      <c r="AB6" s="240">
        <f t="shared" si="5"/>
        <v>0</v>
      </c>
      <c r="AC6" s="240">
        <f t="shared" si="5"/>
        <v>0</v>
      </c>
      <c r="AD6" s="240">
        <f t="shared" si="5"/>
        <v>0</v>
      </c>
      <c r="AE6" s="240">
        <f t="shared" si="5"/>
        <v>0</v>
      </c>
      <c r="AF6" s="240">
        <f t="shared" si="5"/>
        <v>0</v>
      </c>
      <c r="AG6" s="240">
        <f t="shared" si="5"/>
        <v>0</v>
      </c>
      <c r="AH6" s="240">
        <f t="shared" si="5"/>
        <v>0</v>
      </c>
      <c r="AI6" s="240">
        <f t="shared" si="5"/>
        <v>0</v>
      </c>
      <c r="AJ6" s="240">
        <f t="shared" si="5"/>
        <v>0</v>
      </c>
      <c r="AK6" s="240">
        <f t="shared" si="5"/>
        <v>0</v>
      </c>
      <c r="AL6" s="240">
        <f t="shared" si="5"/>
        <v>0</v>
      </c>
      <c r="AM6" s="240">
        <f t="shared" si="5"/>
        <v>0</v>
      </c>
      <c r="AP6" s="70" t="s">
        <v>17</v>
      </c>
      <c r="AQ6" s="70">
        <v>50</v>
      </c>
    </row>
    <row r="7" spans="1:43" s="70" customFormat="1" x14ac:dyDescent="0.25">
      <c r="A7" s="259" t="s">
        <v>89</v>
      </c>
      <c r="B7" s="260" t="s">
        <v>94</v>
      </c>
      <c r="C7" s="261">
        <v>1</v>
      </c>
      <c r="D7" s="262" t="s">
        <v>91</v>
      </c>
      <c r="E7" s="263">
        <v>46074</v>
      </c>
      <c r="F7" s="264">
        <v>0.64583333333333337</v>
      </c>
      <c r="G7" s="265" t="s">
        <v>22</v>
      </c>
      <c r="H7" s="265" t="s">
        <v>20</v>
      </c>
      <c r="I7" s="266" t="s">
        <v>186</v>
      </c>
      <c r="J7" s="267" t="s">
        <v>190</v>
      </c>
      <c r="K7" s="239">
        <f t="shared" si="1"/>
        <v>7</v>
      </c>
      <c r="L7" s="70" t="str">
        <f t="shared" si="2"/>
        <v/>
      </c>
      <c r="M7" s="240">
        <f t="shared" si="3"/>
        <v>165</v>
      </c>
      <c r="N7" s="241">
        <f t="shared" si="6"/>
        <v>20</v>
      </c>
      <c r="O7" s="240">
        <f t="shared" si="4"/>
        <v>0</v>
      </c>
      <c r="P7" s="240">
        <f t="shared" si="4"/>
        <v>0</v>
      </c>
      <c r="Q7" s="240">
        <f t="shared" si="4"/>
        <v>75</v>
      </c>
      <c r="R7" s="240">
        <f t="shared" si="4"/>
        <v>0</v>
      </c>
      <c r="S7" s="240">
        <f t="shared" si="4"/>
        <v>70</v>
      </c>
      <c r="T7" s="240">
        <f t="shared" si="4"/>
        <v>0</v>
      </c>
      <c r="U7" s="240">
        <f t="shared" si="4"/>
        <v>0</v>
      </c>
      <c r="V7" s="240">
        <f t="shared" si="4"/>
        <v>0</v>
      </c>
      <c r="W7" s="240">
        <f t="shared" si="4"/>
        <v>0</v>
      </c>
      <c r="X7" s="240">
        <f t="shared" si="4"/>
        <v>0</v>
      </c>
      <c r="Y7" s="240">
        <f t="shared" si="5"/>
        <v>0</v>
      </c>
      <c r="Z7" s="240">
        <f t="shared" si="5"/>
        <v>0</v>
      </c>
      <c r="AA7" s="240">
        <f t="shared" si="5"/>
        <v>0</v>
      </c>
      <c r="AB7" s="240">
        <f t="shared" si="5"/>
        <v>0</v>
      </c>
      <c r="AC7" s="240">
        <f t="shared" si="5"/>
        <v>0</v>
      </c>
      <c r="AD7" s="240">
        <f t="shared" si="5"/>
        <v>0</v>
      </c>
      <c r="AE7" s="240">
        <f t="shared" si="5"/>
        <v>0</v>
      </c>
      <c r="AF7" s="240">
        <f t="shared" si="5"/>
        <v>0</v>
      </c>
      <c r="AG7" s="240">
        <f t="shared" si="5"/>
        <v>0</v>
      </c>
      <c r="AH7" s="240">
        <f t="shared" si="5"/>
        <v>0</v>
      </c>
      <c r="AI7" s="240">
        <f t="shared" si="5"/>
        <v>0</v>
      </c>
      <c r="AJ7" s="240">
        <f t="shared" si="5"/>
        <v>0</v>
      </c>
      <c r="AK7" s="240">
        <f t="shared" si="5"/>
        <v>0</v>
      </c>
      <c r="AL7" s="240">
        <f t="shared" si="5"/>
        <v>0</v>
      </c>
      <c r="AM7" s="240">
        <f t="shared" si="5"/>
        <v>0</v>
      </c>
      <c r="AP7" s="70" t="s">
        <v>34</v>
      </c>
      <c r="AQ7" s="70">
        <v>80</v>
      </c>
    </row>
    <row r="8" spans="1:43" s="70" customFormat="1" x14ac:dyDescent="0.25">
      <c r="A8" s="259" t="s">
        <v>96</v>
      </c>
      <c r="B8" s="260" t="s">
        <v>97</v>
      </c>
      <c r="C8" s="261">
        <v>1</v>
      </c>
      <c r="D8" s="262" t="s">
        <v>91</v>
      </c>
      <c r="E8" s="263">
        <v>46074</v>
      </c>
      <c r="F8" s="264">
        <v>0.75</v>
      </c>
      <c r="G8" s="265" t="s">
        <v>19</v>
      </c>
      <c r="H8" s="265" t="s">
        <v>22</v>
      </c>
      <c r="I8" s="266" t="s">
        <v>186</v>
      </c>
      <c r="J8" s="267" t="s">
        <v>190</v>
      </c>
      <c r="K8" s="239">
        <f t="shared" si="1"/>
        <v>7</v>
      </c>
      <c r="L8" s="70" t="str">
        <f t="shared" si="2"/>
        <v/>
      </c>
      <c r="M8" s="240">
        <f t="shared" si="3"/>
        <v>165</v>
      </c>
      <c r="N8" s="241">
        <f t="shared" si="6"/>
        <v>20</v>
      </c>
      <c r="O8" s="240">
        <f t="shared" si="4"/>
        <v>75</v>
      </c>
      <c r="P8" s="240">
        <f t="shared" si="4"/>
        <v>0</v>
      </c>
      <c r="Q8" s="240">
        <f t="shared" si="4"/>
        <v>70</v>
      </c>
      <c r="R8" s="240">
        <f t="shared" si="4"/>
        <v>0</v>
      </c>
      <c r="S8" s="240">
        <f t="shared" si="4"/>
        <v>0</v>
      </c>
      <c r="T8" s="240">
        <f t="shared" si="4"/>
        <v>0</v>
      </c>
      <c r="U8" s="240">
        <f t="shared" si="4"/>
        <v>0</v>
      </c>
      <c r="V8" s="240">
        <f t="shared" si="4"/>
        <v>0</v>
      </c>
      <c r="W8" s="240">
        <f t="shared" si="4"/>
        <v>0</v>
      </c>
      <c r="X8" s="240">
        <f t="shared" si="4"/>
        <v>0</v>
      </c>
      <c r="Y8" s="240">
        <f t="shared" si="5"/>
        <v>0</v>
      </c>
      <c r="Z8" s="240">
        <f t="shared" si="5"/>
        <v>0</v>
      </c>
      <c r="AA8" s="240">
        <f t="shared" si="5"/>
        <v>0</v>
      </c>
      <c r="AB8" s="240">
        <f t="shared" si="5"/>
        <v>0</v>
      </c>
      <c r="AC8" s="240">
        <f t="shared" si="5"/>
        <v>0</v>
      </c>
      <c r="AD8" s="240">
        <f t="shared" si="5"/>
        <v>0</v>
      </c>
      <c r="AE8" s="240">
        <f t="shared" si="5"/>
        <v>0</v>
      </c>
      <c r="AF8" s="240">
        <f t="shared" si="5"/>
        <v>0</v>
      </c>
      <c r="AG8" s="240">
        <f t="shared" si="5"/>
        <v>0</v>
      </c>
      <c r="AH8" s="240">
        <f t="shared" si="5"/>
        <v>0</v>
      </c>
      <c r="AI8" s="240">
        <f t="shared" si="5"/>
        <v>0</v>
      </c>
      <c r="AJ8" s="240">
        <f t="shared" si="5"/>
        <v>0</v>
      </c>
      <c r="AK8" s="240">
        <f t="shared" si="5"/>
        <v>0</v>
      </c>
      <c r="AL8" s="240">
        <f t="shared" si="5"/>
        <v>0</v>
      </c>
      <c r="AM8" s="240">
        <f t="shared" si="5"/>
        <v>0</v>
      </c>
      <c r="AP8" s="70" t="s">
        <v>86</v>
      </c>
      <c r="AQ8" s="70">
        <v>70</v>
      </c>
    </row>
    <row r="9" spans="1:43" s="70" customFormat="1" x14ac:dyDescent="0.25">
      <c r="A9" s="268" t="s">
        <v>98</v>
      </c>
      <c r="B9" s="269" t="s">
        <v>99</v>
      </c>
      <c r="C9" s="270">
        <v>1</v>
      </c>
      <c r="D9" s="271" t="s">
        <v>91</v>
      </c>
      <c r="E9" s="272">
        <v>46074</v>
      </c>
      <c r="F9" s="273">
        <v>0.64583333333333337</v>
      </c>
      <c r="G9" s="274" t="s">
        <v>104</v>
      </c>
      <c r="H9" s="236"/>
      <c r="I9" s="275" t="s">
        <v>187</v>
      </c>
      <c r="J9" s="276" t="s">
        <v>188</v>
      </c>
      <c r="K9" s="239">
        <f t="shared" si="1"/>
        <v>7</v>
      </c>
      <c r="L9" s="70">
        <f t="shared" si="2"/>
        <v>1</v>
      </c>
      <c r="M9" s="240">
        <f t="shared" si="3"/>
        <v>85</v>
      </c>
      <c r="N9" s="241">
        <f t="shared" si="6"/>
        <v>10</v>
      </c>
      <c r="O9" s="240">
        <f t="shared" si="4"/>
        <v>0</v>
      </c>
      <c r="P9" s="240">
        <f t="shared" si="4"/>
        <v>0</v>
      </c>
      <c r="Q9" s="240">
        <f t="shared" si="4"/>
        <v>0</v>
      </c>
      <c r="R9" s="240">
        <f t="shared" si="4"/>
        <v>0</v>
      </c>
      <c r="S9" s="240">
        <f t="shared" si="4"/>
        <v>0</v>
      </c>
      <c r="T9" s="240">
        <f t="shared" si="4"/>
        <v>0</v>
      </c>
      <c r="U9" s="240">
        <f t="shared" si="4"/>
        <v>0</v>
      </c>
      <c r="V9" s="240">
        <f t="shared" si="4"/>
        <v>0</v>
      </c>
      <c r="W9" s="240">
        <f t="shared" si="4"/>
        <v>75</v>
      </c>
      <c r="X9" s="240">
        <f t="shared" si="4"/>
        <v>0</v>
      </c>
      <c r="Y9" s="240">
        <f t="shared" si="5"/>
        <v>0</v>
      </c>
      <c r="Z9" s="240">
        <f t="shared" si="5"/>
        <v>0</v>
      </c>
      <c r="AA9" s="240">
        <f t="shared" si="5"/>
        <v>0</v>
      </c>
      <c r="AB9" s="240">
        <f t="shared" si="5"/>
        <v>0</v>
      </c>
      <c r="AC9" s="240">
        <f t="shared" si="5"/>
        <v>0</v>
      </c>
      <c r="AD9" s="240">
        <f t="shared" si="5"/>
        <v>0</v>
      </c>
      <c r="AE9" s="240">
        <f t="shared" si="5"/>
        <v>0</v>
      </c>
      <c r="AF9" s="240">
        <f t="shared" si="5"/>
        <v>0</v>
      </c>
      <c r="AG9" s="240">
        <f t="shared" si="5"/>
        <v>0</v>
      </c>
      <c r="AH9" s="240">
        <f t="shared" si="5"/>
        <v>0</v>
      </c>
      <c r="AI9" s="240">
        <f t="shared" si="5"/>
        <v>0</v>
      </c>
      <c r="AJ9" s="240">
        <f t="shared" si="5"/>
        <v>0</v>
      </c>
      <c r="AK9" s="240">
        <f t="shared" si="5"/>
        <v>0</v>
      </c>
      <c r="AL9" s="240">
        <f t="shared" si="5"/>
        <v>0</v>
      </c>
      <c r="AM9" s="240">
        <f t="shared" si="5"/>
        <v>0</v>
      </c>
      <c r="AP9" s="70" t="s">
        <v>87</v>
      </c>
      <c r="AQ9" s="70">
        <v>70</v>
      </c>
    </row>
    <row r="10" spans="1:43" s="70" customFormat="1" x14ac:dyDescent="0.25">
      <c r="A10" s="268" t="s">
        <v>97</v>
      </c>
      <c r="B10" s="269" t="s">
        <v>92</v>
      </c>
      <c r="C10" s="270">
        <v>1</v>
      </c>
      <c r="D10" s="271" t="s">
        <v>91</v>
      </c>
      <c r="E10" s="272">
        <v>46074</v>
      </c>
      <c r="F10" s="273">
        <v>0.75</v>
      </c>
      <c r="G10" s="274" t="s">
        <v>104</v>
      </c>
      <c r="H10" s="236"/>
      <c r="I10" s="275" t="s">
        <v>187</v>
      </c>
      <c r="J10" s="276" t="s">
        <v>188</v>
      </c>
      <c r="K10" s="239">
        <f t="shared" si="1"/>
        <v>7</v>
      </c>
      <c r="L10" s="70">
        <f t="shared" si="2"/>
        <v>1</v>
      </c>
      <c r="M10" s="240">
        <f t="shared" si="3"/>
        <v>85</v>
      </c>
      <c r="N10" s="241">
        <f t="shared" si="6"/>
        <v>10</v>
      </c>
      <c r="O10" s="240">
        <f t="shared" si="4"/>
        <v>0</v>
      </c>
      <c r="P10" s="240">
        <f t="shared" si="4"/>
        <v>0</v>
      </c>
      <c r="Q10" s="240">
        <f t="shared" si="4"/>
        <v>0</v>
      </c>
      <c r="R10" s="240">
        <f t="shared" si="4"/>
        <v>0</v>
      </c>
      <c r="S10" s="240">
        <f t="shared" si="4"/>
        <v>0</v>
      </c>
      <c r="T10" s="240">
        <f t="shared" si="4"/>
        <v>0</v>
      </c>
      <c r="U10" s="240">
        <f t="shared" si="4"/>
        <v>0</v>
      </c>
      <c r="V10" s="240">
        <f t="shared" si="4"/>
        <v>0</v>
      </c>
      <c r="W10" s="240">
        <f t="shared" si="4"/>
        <v>75</v>
      </c>
      <c r="X10" s="240">
        <f t="shared" si="4"/>
        <v>0</v>
      </c>
      <c r="Y10" s="240">
        <f t="shared" si="5"/>
        <v>0</v>
      </c>
      <c r="Z10" s="240">
        <f t="shared" si="5"/>
        <v>0</v>
      </c>
      <c r="AA10" s="240">
        <f t="shared" si="5"/>
        <v>0</v>
      </c>
      <c r="AB10" s="240">
        <f t="shared" si="5"/>
        <v>0</v>
      </c>
      <c r="AC10" s="240">
        <f t="shared" si="5"/>
        <v>0</v>
      </c>
      <c r="AD10" s="240">
        <f t="shared" si="5"/>
        <v>0</v>
      </c>
      <c r="AE10" s="240">
        <f t="shared" si="5"/>
        <v>0</v>
      </c>
      <c r="AF10" s="240">
        <f t="shared" si="5"/>
        <v>0</v>
      </c>
      <c r="AG10" s="240">
        <f t="shared" si="5"/>
        <v>0</v>
      </c>
      <c r="AH10" s="240">
        <f t="shared" si="5"/>
        <v>0</v>
      </c>
      <c r="AI10" s="240">
        <f t="shared" si="5"/>
        <v>0</v>
      </c>
      <c r="AJ10" s="240">
        <f t="shared" si="5"/>
        <v>0</v>
      </c>
      <c r="AK10" s="240">
        <f t="shared" si="5"/>
        <v>0</v>
      </c>
      <c r="AL10" s="240">
        <f t="shared" si="5"/>
        <v>0</v>
      </c>
      <c r="AM10" s="240">
        <f t="shared" si="5"/>
        <v>0</v>
      </c>
      <c r="AP10" s="70" t="s">
        <v>88</v>
      </c>
      <c r="AQ10" s="70">
        <v>70</v>
      </c>
    </row>
    <row r="11" spans="1:43" s="70" customFormat="1" x14ac:dyDescent="0.25">
      <c r="A11" s="277" t="s">
        <v>96</v>
      </c>
      <c r="B11" s="278" t="s">
        <v>100</v>
      </c>
      <c r="C11" s="279">
        <v>1</v>
      </c>
      <c r="D11" s="280" t="s">
        <v>91</v>
      </c>
      <c r="E11" s="281">
        <v>46075</v>
      </c>
      <c r="F11" s="282">
        <v>0.375</v>
      </c>
      <c r="G11" s="283" t="s">
        <v>74</v>
      </c>
      <c r="H11" s="236"/>
      <c r="I11" s="284" t="s">
        <v>186</v>
      </c>
      <c r="J11" s="285" t="s">
        <v>189</v>
      </c>
      <c r="K11" s="239">
        <f t="shared" si="1"/>
        <v>1</v>
      </c>
      <c r="L11" s="70">
        <f t="shared" si="2"/>
        <v>1</v>
      </c>
      <c r="M11" s="240">
        <f t="shared" si="3"/>
        <v>80</v>
      </c>
      <c r="N11" s="241">
        <f t="shared" si="6"/>
        <v>10</v>
      </c>
      <c r="O11" s="240">
        <f t="shared" si="4"/>
        <v>0</v>
      </c>
      <c r="P11" s="240">
        <f t="shared" si="4"/>
        <v>0</v>
      </c>
      <c r="Q11" s="240">
        <f t="shared" si="4"/>
        <v>0</v>
      </c>
      <c r="R11" s="240">
        <f t="shared" si="4"/>
        <v>0</v>
      </c>
      <c r="S11" s="240">
        <f t="shared" si="4"/>
        <v>0</v>
      </c>
      <c r="T11" s="240">
        <f t="shared" si="4"/>
        <v>0</v>
      </c>
      <c r="U11" s="240">
        <f t="shared" si="4"/>
        <v>0</v>
      </c>
      <c r="V11" s="240">
        <f t="shared" si="4"/>
        <v>0</v>
      </c>
      <c r="W11" s="240">
        <f t="shared" si="4"/>
        <v>0</v>
      </c>
      <c r="X11" s="240">
        <f t="shared" si="4"/>
        <v>0</v>
      </c>
      <c r="Y11" s="240">
        <f t="shared" si="5"/>
        <v>0</v>
      </c>
      <c r="Z11" s="240">
        <f t="shared" si="5"/>
        <v>0</v>
      </c>
      <c r="AA11" s="240">
        <f t="shared" si="5"/>
        <v>0</v>
      </c>
      <c r="AB11" s="240">
        <f t="shared" si="5"/>
        <v>70</v>
      </c>
      <c r="AC11" s="240">
        <f t="shared" si="5"/>
        <v>0</v>
      </c>
      <c r="AD11" s="240">
        <f t="shared" si="5"/>
        <v>0</v>
      </c>
      <c r="AE11" s="240">
        <f t="shared" si="5"/>
        <v>0</v>
      </c>
      <c r="AF11" s="240">
        <f t="shared" si="5"/>
        <v>0</v>
      </c>
      <c r="AG11" s="240">
        <f t="shared" si="5"/>
        <v>0</v>
      </c>
      <c r="AH11" s="240">
        <f t="shared" si="5"/>
        <v>0</v>
      </c>
      <c r="AI11" s="240">
        <f t="shared" si="5"/>
        <v>0</v>
      </c>
      <c r="AJ11" s="240">
        <f t="shared" si="5"/>
        <v>0</v>
      </c>
      <c r="AK11" s="240">
        <f t="shared" si="5"/>
        <v>0</v>
      </c>
      <c r="AL11" s="240">
        <f t="shared" si="5"/>
        <v>0</v>
      </c>
      <c r="AM11" s="240">
        <f t="shared" si="5"/>
        <v>0</v>
      </c>
    </row>
    <row r="12" spans="1:43" s="70" customFormat="1" x14ac:dyDescent="0.25">
      <c r="A12" s="277" t="s">
        <v>89</v>
      </c>
      <c r="B12" s="278" t="s">
        <v>90</v>
      </c>
      <c r="C12" s="279">
        <v>1</v>
      </c>
      <c r="D12" s="280" t="s">
        <v>91</v>
      </c>
      <c r="E12" s="281">
        <v>46075</v>
      </c>
      <c r="F12" s="282">
        <v>0.47916666666666669</v>
      </c>
      <c r="G12" s="283" t="s">
        <v>107</v>
      </c>
      <c r="H12" s="236"/>
      <c r="I12" s="284" t="s">
        <v>186</v>
      </c>
      <c r="J12" s="285" t="s">
        <v>189</v>
      </c>
      <c r="K12" s="239">
        <f t="shared" si="1"/>
        <v>1</v>
      </c>
      <c r="L12" s="70">
        <f t="shared" si="2"/>
        <v>1</v>
      </c>
      <c r="M12" s="240">
        <f t="shared" si="3"/>
        <v>80</v>
      </c>
      <c r="N12" s="241">
        <f t="shared" si="6"/>
        <v>10</v>
      </c>
      <c r="O12" s="240">
        <f t="shared" si="4"/>
        <v>0</v>
      </c>
      <c r="P12" s="240">
        <f t="shared" si="4"/>
        <v>0</v>
      </c>
      <c r="Q12" s="240">
        <f t="shared" si="4"/>
        <v>0</v>
      </c>
      <c r="R12" s="240">
        <f t="shared" si="4"/>
        <v>0</v>
      </c>
      <c r="S12" s="240">
        <f t="shared" si="4"/>
        <v>0</v>
      </c>
      <c r="T12" s="240">
        <f t="shared" si="4"/>
        <v>0</v>
      </c>
      <c r="U12" s="240">
        <f t="shared" si="4"/>
        <v>0</v>
      </c>
      <c r="V12" s="240">
        <f t="shared" si="4"/>
        <v>0</v>
      </c>
      <c r="W12" s="240">
        <f t="shared" si="4"/>
        <v>0</v>
      </c>
      <c r="X12" s="240">
        <f t="shared" si="4"/>
        <v>0</v>
      </c>
      <c r="Y12" s="240">
        <f t="shared" si="5"/>
        <v>0</v>
      </c>
      <c r="Z12" s="240">
        <f t="shared" si="5"/>
        <v>0</v>
      </c>
      <c r="AA12" s="240">
        <f t="shared" si="5"/>
        <v>0</v>
      </c>
      <c r="AB12" s="240">
        <f t="shared" si="5"/>
        <v>0</v>
      </c>
      <c r="AC12" s="240">
        <f t="shared" si="5"/>
        <v>0</v>
      </c>
      <c r="AD12" s="240">
        <f t="shared" si="5"/>
        <v>0</v>
      </c>
      <c r="AE12" s="240">
        <f t="shared" si="5"/>
        <v>70</v>
      </c>
      <c r="AF12" s="240">
        <f t="shared" si="5"/>
        <v>0</v>
      </c>
      <c r="AG12" s="240">
        <f t="shared" si="5"/>
        <v>0</v>
      </c>
      <c r="AH12" s="240">
        <f t="shared" si="5"/>
        <v>0</v>
      </c>
      <c r="AI12" s="240">
        <f t="shared" si="5"/>
        <v>0</v>
      </c>
      <c r="AJ12" s="240">
        <f t="shared" si="5"/>
        <v>0</v>
      </c>
      <c r="AK12" s="240">
        <f t="shared" si="5"/>
        <v>0</v>
      </c>
      <c r="AL12" s="240">
        <f t="shared" si="5"/>
        <v>0</v>
      </c>
      <c r="AM12" s="240">
        <f t="shared" si="5"/>
        <v>0</v>
      </c>
    </row>
    <row r="13" spans="1:43" s="70" customFormat="1" x14ac:dyDescent="0.25">
      <c r="A13" s="277" t="s">
        <v>97</v>
      </c>
      <c r="B13" s="278" t="s">
        <v>98</v>
      </c>
      <c r="C13" s="279">
        <v>1</v>
      </c>
      <c r="D13" s="280" t="s">
        <v>91</v>
      </c>
      <c r="E13" s="281">
        <v>46075</v>
      </c>
      <c r="F13" s="282">
        <v>0.58333333333333337</v>
      </c>
      <c r="G13" s="283" t="s">
        <v>106</v>
      </c>
      <c r="H13" s="236"/>
      <c r="I13" s="284" t="s">
        <v>186</v>
      </c>
      <c r="J13" s="285" t="s">
        <v>189</v>
      </c>
      <c r="K13" s="239">
        <f t="shared" si="1"/>
        <v>1</v>
      </c>
      <c r="L13" s="70">
        <f t="shared" si="2"/>
        <v>1</v>
      </c>
      <c r="M13" s="240">
        <f t="shared" si="3"/>
        <v>80</v>
      </c>
      <c r="N13" s="241">
        <f t="shared" si="6"/>
        <v>10</v>
      </c>
      <c r="O13" s="240">
        <f t="shared" ref="O13:X19" si="7">IF($G13=O$1,VLOOKUP($J13,$AP:$AQ,2,FALSE),IF($H13=O$1,70,0))</f>
        <v>0</v>
      </c>
      <c r="P13" s="240">
        <f t="shared" si="7"/>
        <v>0</v>
      </c>
      <c r="Q13" s="240">
        <f t="shared" si="7"/>
        <v>0</v>
      </c>
      <c r="R13" s="240">
        <f t="shared" si="7"/>
        <v>0</v>
      </c>
      <c r="S13" s="240">
        <f t="shared" si="7"/>
        <v>0</v>
      </c>
      <c r="T13" s="240">
        <f t="shared" si="7"/>
        <v>0</v>
      </c>
      <c r="U13" s="240">
        <f t="shared" si="7"/>
        <v>0</v>
      </c>
      <c r="V13" s="240">
        <f t="shared" si="7"/>
        <v>0</v>
      </c>
      <c r="W13" s="240">
        <f t="shared" si="7"/>
        <v>0</v>
      </c>
      <c r="X13" s="240">
        <f t="shared" si="7"/>
        <v>0</v>
      </c>
      <c r="Y13" s="240">
        <f t="shared" ref="Y13:AM19" si="8">IF($G13=Y$1,VLOOKUP($J13,$AP:$AQ,2,FALSE),IF($H13=Y$1,70,0))</f>
        <v>0</v>
      </c>
      <c r="Z13" s="240">
        <f t="shared" si="8"/>
        <v>0</v>
      </c>
      <c r="AA13" s="240">
        <f t="shared" si="8"/>
        <v>0</v>
      </c>
      <c r="AB13" s="240">
        <f t="shared" si="8"/>
        <v>0</v>
      </c>
      <c r="AC13" s="240">
        <f t="shared" si="8"/>
        <v>0</v>
      </c>
      <c r="AD13" s="240">
        <f t="shared" si="8"/>
        <v>70</v>
      </c>
      <c r="AE13" s="240">
        <f t="shared" si="8"/>
        <v>0</v>
      </c>
      <c r="AF13" s="240">
        <f t="shared" si="8"/>
        <v>0</v>
      </c>
      <c r="AG13" s="240">
        <f t="shared" si="8"/>
        <v>0</v>
      </c>
      <c r="AH13" s="240">
        <f t="shared" si="8"/>
        <v>0</v>
      </c>
      <c r="AI13" s="240">
        <f t="shared" si="8"/>
        <v>0</v>
      </c>
      <c r="AJ13" s="240">
        <f t="shared" si="8"/>
        <v>0</v>
      </c>
      <c r="AK13" s="240">
        <f t="shared" si="8"/>
        <v>0</v>
      </c>
      <c r="AL13" s="240">
        <f t="shared" si="8"/>
        <v>0</v>
      </c>
      <c r="AM13" s="240">
        <f t="shared" si="8"/>
        <v>0</v>
      </c>
    </row>
    <row r="14" spans="1:43" s="70" customFormat="1" x14ac:dyDescent="0.25">
      <c r="A14" s="277" t="s">
        <v>94</v>
      </c>
      <c r="B14" s="278" t="s">
        <v>92</v>
      </c>
      <c r="C14" s="279">
        <v>1</v>
      </c>
      <c r="D14" s="280" t="s">
        <v>91</v>
      </c>
      <c r="E14" s="281">
        <v>46075</v>
      </c>
      <c r="F14" s="282">
        <v>0.375</v>
      </c>
      <c r="G14" s="286" t="s">
        <v>102</v>
      </c>
      <c r="H14" s="236"/>
      <c r="I14" s="284" t="s">
        <v>187</v>
      </c>
      <c r="J14" s="285" t="s">
        <v>189</v>
      </c>
      <c r="K14" s="239">
        <f t="shared" si="1"/>
        <v>1</v>
      </c>
      <c r="L14" s="70">
        <f t="shared" si="2"/>
        <v>1</v>
      </c>
      <c r="M14" s="240">
        <f t="shared" si="3"/>
        <v>80</v>
      </c>
      <c r="N14" s="241">
        <f t="shared" si="6"/>
        <v>10</v>
      </c>
      <c r="O14" s="240">
        <f t="shared" si="7"/>
        <v>0</v>
      </c>
      <c r="P14" s="240">
        <f t="shared" si="7"/>
        <v>0</v>
      </c>
      <c r="Q14" s="240">
        <f t="shared" si="7"/>
        <v>0</v>
      </c>
      <c r="R14" s="240">
        <f t="shared" si="7"/>
        <v>0</v>
      </c>
      <c r="S14" s="240">
        <f t="shared" si="7"/>
        <v>0</v>
      </c>
      <c r="T14" s="240">
        <f t="shared" si="7"/>
        <v>0</v>
      </c>
      <c r="U14" s="240">
        <f t="shared" si="7"/>
        <v>0</v>
      </c>
      <c r="V14" s="240">
        <f t="shared" si="7"/>
        <v>0</v>
      </c>
      <c r="W14" s="240">
        <f t="shared" si="7"/>
        <v>0</v>
      </c>
      <c r="X14" s="240">
        <f t="shared" si="7"/>
        <v>70</v>
      </c>
      <c r="Y14" s="240">
        <f t="shared" si="8"/>
        <v>0</v>
      </c>
      <c r="Z14" s="240">
        <f t="shared" si="8"/>
        <v>0</v>
      </c>
      <c r="AA14" s="240">
        <f t="shared" si="8"/>
        <v>0</v>
      </c>
      <c r="AB14" s="240">
        <f t="shared" si="8"/>
        <v>0</v>
      </c>
      <c r="AC14" s="240">
        <f t="shared" si="8"/>
        <v>0</v>
      </c>
      <c r="AD14" s="240">
        <f t="shared" si="8"/>
        <v>0</v>
      </c>
      <c r="AE14" s="240">
        <f t="shared" si="8"/>
        <v>0</v>
      </c>
      <c r="AF14" s="240">
        <f t="shared" si="8"/>
        <v>0</v>
      </c>
      <c r="AG14" s="240">
        <f t="shared" si="8"/>
        <v>0</v>
      </c>
      <c r="AH14" s="240">
        <f t="shared" si="8"/>
        <v>0</v>
      </c>
      <c r="AI14" s="240">
        <f t="shared" si="8"/>
        <v>0</v>
      </c>
      <c r="AJ14" s="240">
        <f t="shared" si="8"/>
        <v>0</v>
      </c>
      <c r="AK14" s="240">
        <f t="shared" si="8"/>
        <v>0</v>
      </c>
      <c r="AL14" s="240">
        <f t="shared" si="8"/>
        <v>0</v>
      </c>
      <c r="AM14" s="240">
        <f t="shared" si="8"/>
        <v>0</v>
      </c>
    </row>
    <row r="15" spans="1:43" s="70" customFormat="1" x14ac:dyDescent="0.25">
      <c r="A15" s="277" t="s">
        <v>93</v>
      </c>
      <c r="B15" s="278" t="s">
        <v>101</v>
      </c>
      <c r="C15" s="279">
        <v>1</v>
      </c>
      <c r="D15" s="280" t="s">
        <v>91</v>
      </c>
      <c r="E15" s="281">
        <v>46075</v>
      </c>
      <c r="F15" s="282">
        <v>0.47916666666666669</v>
      </c>
      <c r="G15" s="286" t="s">
        <v>102</v>
      </c>
      <c r="H15" s="236"/>
      <c r="I15" s="284" t="s">
        <v>187</v>
      </c>
      <c r="J15" s="285" t="s">
        <v>189</v>
      </c>
      <c r="K15" s="239">
        <f t="shared" si="1"/>
        <v>1</v>
      </c>
      <c r="L15" s="70">
        <f t="shared" si="2"/>
        <v>1</v>
      </c>
      <c r="M15" s="240">
        <f t="shared" si="3"/>
        <v>80</v>
      </c>
      <c r="N15" s="241">
        <f t="shared" si="6"/>
        <v>10</v>
      </c>
      <c r="O15" s="240">
        <f t="shared" si="7"/>
        <v>0</v>
      </c>
      <c r="P15" s="240">
        <f t="shared" si="7"/>
        <v>0</v>
      </c>
      <c r="Q15" s="240">
        <f t="shared" si="7"/>
        <v>0</v>
      </c>
      <c r="R15" s="240">
        <f t="shared" si="7"/>
        <v>0</v>
      </c>
      <c r="S15" s="240">
        <f t="shared" si="7"/>
        <v>0</v>
      </c>
      <c r="T15" s="240">
        <f t="shared" si="7"/>
        <v>0</v>
      </c>
      <c r="U15" s="240">
        <f t="shared" si="7"/>
        <v>0</v>
      </c>
      <c r="V15" s="240">
        <f t="shared" si="7"/>
        <v>0</v>
      </c>
      <c r="W15" s="240">
        <f t="shared" si="7"/>
        <v>0</v>
      </c>
      <c r="X15" s="240">
        <f t="shared" si="7"/>
        <v>70</v>
      </c>
      <c r="Y15" s="240">
        <f t="shared" si="8"/>
        <v>0</v>
      </c>
      <c r="Z15" s="240">
        <f t="shared" si="8"/>
        <v>0</v>
      </c>
      <c r="AA15" s="240">
        <f t="shared" si="8"/>
        <v>0</v>
      </c>
      <c r="AB15" s="240">
        <f t="shared" si="8"/>
        <v>0</v>
      </c>
      <c r="AC15" s="240">
        <f t="shared" si="8"/>
        <v>0</v>
      </c>
      <c r="AD15" s="240">
        <f t="shared" si="8"/>
        <v>0</v>
      </c>
      <c r="AE15" s="240">
        <f t="shared" si="8"/>
        <v>0</v>
      </c>
      <c r="AF15" s="240">
        <f t="shared" si="8"/>
        <v>0</v>
      </c>
      <c r="AG15" s="240">
        <f t="shared" si="8"/>
        <v>0</v>
      </c>
      <c r="AH15" s="240">
        <f t="shared" si="8"/>
        <v>0</v>
      </c>
      <c r="AI15" s="240">
        <f t="shared" si="8"/>
        <v>0</v>
      </c>
      <c r="AJ15" s="240">
        <f t="shared" si="8"/>
        <v>0</v>
      </c>
      <c r="AK15" s="240">
        <f t="shared" si="8"/>
        <v>0</v>
      </c>
      <c r="AL15" s="240">
        <f t="shared" si="8"/>
        <v>0</v>
      </c>
      <c r="AM15" s="240">
        <f t="shared" si="8"/>
        <v>0</v>
      </c>
    </row>
    <row r="16" spans="1:43" s="70" customFormat="1" x14ac:dyDescent="0.25">
      <c r="A16" s="287" t="s">
        <v>95</v>
      </c>
      <c r="B16" s="288" t="s">
        <v>99</v>
      </c>
      <c r="C16" s="289">
        <v>1</v>
      </c>
      <c r="D16" s="280" t="s">
        <v>91</v>
      </c>
      <c r="E16" s="281">
        <v>46075</v>
      </c>
      <c r="F16" s="282">
        <v>0.58333333333333337</v>
      </c>
      <c r="G16" s="286" t="s">
        <v>75</v>
      </c>
      <c r="H16" s="236"/>
      <c r="I16" s="284" t="s">
        <v>187</v>
      </c>
      <c r="J16" s="285" t="s">
        <v>189</v>
      </c>
      <c r="K16" s="239">
        <f>WEEKDAY(E16)</f>
        <v>1</v>
      </c>
      <c r="L16" s="70">
        <f>IF(G16=L$1,1,IF(H16=L$1,1,""))</f>
        <v>1</v>
      </c>
      <c r="M16" s="240">
        <f>SUM(N16:AM16)</f>
        <v>80</v>
      </c>
      <c r="N16" s="241">
        <f>IF(G16 &lt;&gt; "Cancel",IF(H16&lt;&gt;"",20,10),0)</f>
        <v>10</v>
      </c>
      <c r="O16" s="240">
        <f t="shared" si="7"/>
        <v>0</v>
      </c>
      <c r="P16" s="240">
        <f t="shared" si="7"/>
        <v>0</v>
      </c>
      <c r="Q16" s="240">
        <f t="shared" si="7"/>
        <v>0</v>
      </c>
      <c r="R16" s="240">
        <f t="shared" si="7"/>
        <v>0</v>
      </c>
      <c r="S16" s="240">
        <f t="shared" si="7"/>
        <v>0</v>
      </c>
      <c r="T16" s="240">
        <f t="shared" si="7"/>
        <v>0</v>
      </c>
      <c r="U16" s="240">
        <f t="shared" si="7"/>
        <v>0</v>
      </c>
      <c r="V16" s="240">
        <f t="shared" si="7"/>
        <v>0</v>
      </c>
      <c r="W16" s="240">
        <f t="shared" si="7"/>
        <v>0</v>
      </c>
      <c r="X16" s="240">
        <f t="shared" si="7"/>
        <v>0</v>
      </c>
      <c r="Y16" s="240">
        <f t="shared" si="8"/>
        <v>0</v>
      </c>
      <c r="Z16" s="240">
        <f t="shared" si="8"/>
        <v>0</v>
      </c>
      <c r="AA16" s="240">
        <f t="shared" si="8"/>
        <v>0</v>
      </c>
      <c r="AB16" s="240">
        <f t="shared" si="8"/>
        <v>0</v>
      </c>
      <c r="AC16" s="240">
        <f t="shared" si="8"/>
        <v>70</v>
      </c>
      <c r="AD16" s="240">
        <f t="shared" si="8"/>
        <v>0</v>
      </c>
      <c r="AE16" s="240">
        <f t="shared" si="8"/>
        <v>0</v>
      </c>
      <c r="AF16" s="240">
        <f t="shared" si="8"/>
        <v>0</v>
      </c>
      <c r="AG16" s="240">
        <f t="shared" si="8"/>
        <v>0</v>
      </c>
      <c r="AH16" s="240">
        <f t="shared" si="8"/>
        <v>0</v>
      </c>
      <c r="AI16" s="240">
        <f t="shared" si="8"/>
        <v>0</v>
      </c>
      <c r="AJ16" s="240">
        <f t="shared" si="8"/>
        <v>0</v>
      </c>
      <c r="AK16" s="240">
        <f t="shared" si="8"/>
        <v>0</v>
      </c>
      <c r="AL16" s="240">
        <f t="shared" si="8"/>
        <v>0</v>
      </c>
      <c r="AM16" s="240">
        <f t="shared" si="8"/>
        <v>0</v>
      </c>
    </row>
    <row r="17" spans="1:43" s="299" customFormat="1" x14ac:dyDescent="0.25">
      <c r="A17" s="290" t="s">
        <v>92</v>
      </c>
      <c r="B17" s="291" t="s">
        <v>93</v>
      </c>
      <c r="C17" s="292">
        <v>1</v>
      </c>
      <c r="D17" s="293" t="s">
        <v>91</v>
      </c>
      <c r="E17" s="246">
        <v>46075</v>
      </c>
      <c r="F17" s="247">
        <v>0.6875</v>
      </c>
      <c r="G17" s="294" t="s">
        <v>18</v>
      </c>
      <c r="H17" s="295" t="s">
        <v>19</v>
      </c>
      <c r="I17" s="296" t="s">
        <v>186</v>
      </c>
      <c r="J17" s="297" t="s">
        <v>190</v>
      </c>
      <c r="K17" s="298">
        <f t="shared" ref="K17" si="9">WEEKDAY(E17)</f>
        <v>1</v>
      </c>
      <c r="L17" s="299" t="str">
        <f t="shared" ref="L17" si="10">IF(G17=L$1,1,IF(H17=L$1,1,""))</f>
        <v/>
      </c>
      <c r="M17" s="300">
        <f t="shared" ref="M17" si="11">SUM(N17:AM17)</f>
        <v>165</v>
      </c>
      <c r="N17" s="300">
        <f t="shared" ref="N17" si="12">IF(G17 &lt;&gt; "Cancel",IF(H17&lt;&gt;"",20,10),0)</f>
        <v>20</v>
      </c>
      <c r="O17" s="300">
        <f t="shared" si="7"/>
        <v>70</v>
      </c>
      <c r="P17" s="300">
        <f t="shared" si="7"/>
        <v>75</v>
      </c>
      <c r="Q17" s="300">
        <f t="shared" si="7"/>
        <v>0</v>
      </c>
      <c r="R17" s="300">
        <f t="shared" si="7"/>
        <v>0</v>
      </c>
      <c r="S17" s="300">
        <f t="shared" si="7"/>
        <v>0</v>
      </c>
      <c r="T17" s="300">
        <f t="shared" si="7"/>
        <v>0</v>
      </c>
      <c r="U17" s="300">
        <f t="shared" si="7"/>
        <v>0</v>
      </c>
      <c r="V17" s="300">
        <f t="shared" si="7"/>
        <v>0</v>
      </c>
      <c r="W17" s="300">
        <f t="shared" si="7"/>
        <v>0</v>
      </c>
      <c r="X17" s="300">
        <f t="shared" si="7"/>
        <v>0</v>
      </c>
      <c r="Y17" s="300">
        <f t="shared" si="8"/>
        <v>0</v>
      </c>
      <c r="Z17" s="300">
        <f t="shared" si="8"/>
        <v>0</v>
      </c>
      <c r="AA17" s="300">
        <f t="shared" si="8"/>
        <v>0</v>
      </c>
      <c r="AB17" s="300">
        <f t="shared" si="8"/>
        <v>0</v>
      </c>
      <c r="AC17" s="300">
        <f t="shared" si="8"/>
        <v>0</v>
      </c>
      <c r="AD17" s="300">
        <f t="shared" si="8"/>
        <v>0</v>
      </c>
      <c r="AE17" s="300">
        <f t="shared" si="8"/>
        <v>0</v>
      </c>
      <c r="AF17" s="300">
        <f t="shared" si="8"/>
        <v>0</v>
      </c>
      <c r="AG17" s="300">
        <f t="shared" si="8"/>
        <v>0</v>
      </c>
      <c r="AH17" s="300">
        <f t="shared" si="8"/>
        <v>0</v>
      </c>
      <c r="AI17" s="300">
        <f t="shared" si="8"/>
        <v>0</v>
      </c>
      <c r="AJ17" s="300">
        <f t="shared" si="8"/>
        <v>0</v>
      </c>
      <c r="AK17" s="300">
        <f t="shared" si="8"/>
        <v>0</v>
      </c>
      <c r="AL17" s="300">
        <f t="shared" si="8"/>
        <v>0</v>
      </c>
      <c r="AM17" s="300">
        <f t="shared" si="8"/>
        <v>0</v>
      </c>
      <c r="AP17" s="299" t="s">
        <v>189</v>
      </c>
      <c r="AQ17" s="299">
        <v>70</v>
      </c>
    </row>
    <row r="18" spans="1:43" s="70" customFormat="1" x14ac:dyDescent="0.25">
      <c r="A18" s="251" t="s">
        <v>93</v>
      </c>
      <c r="B18" s="252" t="s">
        <v>96</v>
      </c>
      <c r="C18" s="253">
        <v>1</v>
      </c>
      <c r="D18" s="254" t="s">
        <v>91</v>
      </c>
      <c r="E18" s="255">
        <v>46075</v>
      </c>
      <c r="F18" s="256">
        <v>0.6875</v>
      </c>
      <c r="G18" s="235" t="s">
        <v>106</v>
      </c>
      <c r="H18" s="236"/>
      <c r="I18" s="257" t="s">
        <v>187</v>
      </c>
      <c r="J18" s="258" t="s">
        <v>188</v>
      </c>
      <c r="K18" s="239">
        <f t="shared" ref="K18" si="13">WEEKDAY(E18)</f>
        <v>1</v>
      </c>
      <c r="L18" s="70">
        <f t="shared" ref="L18" si="14">IF(G18=L$1,1,IF(H18=L$1,1,""))</f>
        <v>1</v>
      </c>
      <c r="M18" s="240">
        <f t="shared" ref="M18" si="15">SUM(N18:AM18)</f>
        <v>85</v>
      </c>
      <c r="N18" s="241">
        <f t="shared" ref="N18" si="16">IF(G18 &lt;&gt; "Cancel",IF(H18&lt;&gt;"",20,10),0)</f>
        <v>10</v>
      </c>
      <c r="O18" s="240">
        <f t="shared" si="7"/>
        <v>0</v>
      </c>
      <c r="P18" s="240">
        <f t="shared" si="7"/>
        <v>0</v>
      </c>
      <c r="Q18" s="240">
        <f t="shared" si="7"/>
        <v>0</v>
      </c>
      <c r="R18" s="240">
        <f t="shared" si="7"/>
        <v>0</v>
      </c>
      <c r="S18" s="240">
        <f t="shared" si="7"/>
        <v>0</v>
      </c>
      <c r="T18" s="240">
        <f t="shared" si="7"/>
        <v>0</v>
      </c>
      <c r="U18" s="240">
        <f t="shared" si="7"/>
        <v>0</v>
      </c>
      <c r="V18" s="240">
        <f t="shared" si="7"/>
        <v>0</v>
      </c>
      <c r="W18" s="240">
        <f t="shared" si="7"/>
        <v>0</v>
      </c>
      <c r="X18" s="240">
        <f t="shared" si="7"/>
        <v>0</v>
      </c>
      <c r="Y18" s="240">
        <f t="shared" si="8"/>
        <v>0</v>
      </c>
      <c r="Z18" s="240">
        <f t="shared" si="8"/>
        <v>0</v>
      </c>
      <c r="AA18" s="240">
        <f t="shared" si="8"/>
        <v>0</v>
      </c>
      <c r="AB18" s="240">
        <f t="shared" si="8"/>
        <v>0</v>
      </c>
      <c r="AC18" s="240">
        <f t="shared" si="8"/>
        <v>0</v>
      </c>
      <c r="AD18" s="240">
        <f t="shared" si="8"/>
        <v>75</v>
      </c>
      <c r="AE18" s="240">
        <f t="shared" si="8"/>
        <v>0</v>
      </c>
      <c r="AF18" s="240">
        <f t="shared" si="8"/>
        <v>0</v>
      </c>
      <c r="AG18" s="240">
        <f t="shared" si="8"/>
        <v>0</v>
      </c>
      <c r="AH18" s="240">
        <f t="shared" si="8"/>
        <v>0</v>
      </c>
      <c r="AI18" s="240">
        <f t="shared" si="8"/>
        <v>0</v>
      </c>
      <c r="AJ18" s="240">
        <f t="shared" si="8"/>
        <v>0</v>
      </c>
      <c r="AK18" s="240">
        <f t="shared" si="8"/>
        <v>0</v>
      </c>
      <c r="AL18" s="240">
        <f t="shared" si="8"/>
        <v>0</v>
      </c>
      <c r="AM18" s="240">
        <f t="shared" si="8"/>
        <v>0</v>
      </c>
      <c r="AP18" s="70" t="s">
        <v>17</v>
      </c>
      <c r="AQ18" s="70">
        <v>50</v>
      </c>
    </row>
    <row r="19" spans="1:43" s="70" customFormat="1" ht="15.75" thickBot="1" x14ac:dyDescent="0.3">
      <c r="A19" s="251" t="s">
        <v>92</v>
      </c>
      <c r="B19" s="252" t="s">
        <v>93</v>
      </c>
      <c r="C19" s="253">
        <v>1</v>
      </c>
      <c r="D19" s="254" t="s">
        <v>91</v>
      </c>
      <c r="E19" s="255">
        <v>46075</v>
      </c>
      <c r="F19" s="256">
        <v>0.79166666666666663</v>
      </c>
      <c r="G19" s="301" t="s">
        <v>21</v>
      </c>
      <c r="H19" s="236"/>
      <c r="I19" s="257" t="s">
        <v>187</v>
      </c>
      <c r="J19" s="258" t="s">
        <v>188</v>
      </c>
      <c r="K19" s="239">
        <f t="shared" ref="K19" si="17">WEEKDAY(E19)</f>
        <v>1</v>
      </c>
      <c r="L19" s="70">
        <f t="shared" ref="L19" si="18">IF(G19=L$1,1,IF(H19=L$1,1,""))</f>
        <v>1</v>
      </c>
      <c r="M19" s="240">
        <f t="shared" ref="M19" si="19">SUM(N19:AM19)</f>
        <v>85</v>
      </c>
      <c r="N19" s="241">
        <f t="shared" ref="N19" si="20">IF(G19 &lt;&gt; "Cancel",IF(H19&lt;&gt;"",20,10),0)</f>
        <v>10</v>
      </c>
      <c r="O19" s="240">
        <f t="shared" si="7"/>
        <v>0</v>
      </c>
      <c r="P19" s="240">
        <f t="shared" si="7"/>
        <v>0</v>
      </c>
      <c r="Q19" s="240">
        <f t="shared" si="7"/>
        <v>0</v>
      </c>
      <c r="R19" s="240">
        <f t="shared" si="7"/>
        <v>0</v>
      </c>
      <c r="S19" s="240">
        <f t="shared" si="7"/>
        <v>0</v>
      </c>
      <c r="T19" s="240">
        <f t="shared" si="7"/>
        <v>0</v>
      </c>
      <c r="U19" s="240">
        <f t="shared" si="7"/>
        <v>0</v>
      </c>
      <c r="V19" s="240">
        <f t="shared" si="7"/>
        <v>75</v>
      </c>
      <c r="W19" s="240">
        <f t="shared" si="7"/>
        <v>0</v>
      </c>
      <c r="X19" s="240">
        <f t="shared" si="7"/>
        <v>0</v>
      </c>
      <c r="Y19" s="240">
        <f t="shared" si="8"/>
        <v>0</v>
      </c>
      <c r="Z19" s="240">
        <f t="shared" si="8"/>
        <v>0</v>
      </c>
      <c r="AA19" s="240">
        <f t="shared" si="8"/>
        <v>0</v>
      </c>
      <c r="AB19" s="240">
        <f t="shared" si="8"/>
        <v>0</v>
      </c>
      <c r="AC19" s="240">
        <f t="shared" si="8"/>
        <v>0</v>
      </c>
      <c r="AD19" s="240">
        <f t="shared" si="8"/>
        <v>0</v>
      </c>
      <c r="AE19" s="240">
        <f t="shared" si="8"/>
        <v>0</v>
      </c>
      <c r="AF19" s="240">
        <f t="shared" si="8"/>
        <v>0</v>
      </c>
      <c r="AG19" s="240">
        <f t="shared" si="8"/>
        <v>0</v>
      </c>
      <c r="AH19" s="240">
        <f t="shared" si="8"/>
        <v>0</v>
      </c>
      <c r="AI19" s="240">
        <f t="shared" si="8"/>
        <v>0</v>
      </c>
      <c r="AJ19" s="240">
        <f t="shared" si="8"/>
        <v>0</v>
      </c>
      <c r="AK19" s="240">
        <f t="shared" si="8"/>
        <v>0</v>
      </c>
      <c r="AL19" s="240">
        <f t="shared" si="8"/>
        <v>0</v>
      </c>
      <c r="AM19" s="240">
        <f t="shared" si="8"/>
        <v>0</v>
      </c>
      <c r="AP19" s="70" t="s">
        <v>189</v>
      </c>
      <c r="AQ19" s="70">
        <v>70</v>
      </c>
    </row>
    <row r="20" spans="1:43" s="70" customFormat="1" ht="13.5" customHeight="1" thickBot="1" x14ac:dyDescent="0.3">
      <c r="A20" s="302"/>
      <c r="B20" s="303"/>
      <c r="C20" s="304"/>
      <c r="D20" s="305"/>
      <c r="E20" s="306"/>
      <c r="F20" s="307"/>
      <c r="G20" s="212"/>
      <c r="H20" s="204"/>
      <c r="I20" s="187"/>
      <c r="J20" s="51" t="str">
        <f>"Totals for " &amp; D19 &amp;"…"</f>
        <v>Totals for Feb 20-Feb 22…</v>
      </c>
      <c r="K20" s="239">
        <v>9</v>
      </c>
      <c r="L20" s="70">
        <f t="shared" si="2"/>
        <v>1</v>
      </c>
      <c r="M20" s="308">
        <f t="shared" si="3"/>
        <v>1315</v>
      </c>
      <c r="N20" s="309">
        <f t="shared" ref="N20:AM20" si="21">SUM(N3:N19)</f>
        <v>160</v>
      </c>
      <c r="O20" s="310">
        <f t="shared" si="21"/>
        <v>145</v>
      </c>
      <c r="P20" s="310">
        <f t="shared" si="21"/>
        <v>75</v>
      </c>
      <c r="Q20" s="310">
        <f t="shared" si="21"/>
        <v>145</v>
      </c>
      <c r="R20" s="310">
        <f t="shared" si="21"/>
        <v>0</v>
      </c>
      <c r="S20" s="310">
        <f t="shared" si="21"/>
        <v>70</v>
      </c>
      <c r="T20" s="310">
        <f t="shared" si="21"/>
        <v>0</v>
      </c>
      <c r="U20" s="310">
        <f t="shared" si="21"/>
        <v>0</v>
      </c>
      <c r="V20" s="311">
        <f t="shared" si="21"/>
        <v>75</v>
      </c>
      <c r="W20" s="310">
        <f t="shared" si="21"/>
        <v>150</v>
      </c>
      <c r="X20" s="312">
        <f t="shared" si="21"/>
        <v>140</v>
      </c>
      <c r="Y20" s="312">
        <f t="shared" si="21"/>
        <v>0</v>
      </c>
      <c r="Z20" s="312">
        <f t="shared" si="21"/>
        <v>0</v>
      </c>
      <c r="AA20" s="312">
        <f t="shared" si="21"/>
        <v>0</v>
      </c>
      <c r="AB20" s="313">
        <f t="shared" si="21"/>
        <v>70</v>
      </c>
      <c r="AC20" s="313">
        <f t="shared" si="21"/>
        <v>70</v>
      </c>
      <c r="AD20" s="313">
        <f t="shared" si="21"/>
        <v>145</v>
      </c>
      <c r="AE20" s="313">
        <f t="shared" si="21"/>
        <v>70</v>
      </c>
      <c r="AF20" s="313">
        <f t="shared" si="21"/>
        <v>0</v>
      </c>
      <c r="AG20" s="314">
        <f t="shared" si="21"/>
        <v>0</v>
      </c>
      <c r="AH20" s="314">
        <f t="shared" si="21"/>
        <v>0</v>
      </c>
      <c r="AI20" s="312">
        <f t="shared" si="21"/>
        <v>0</v>
      </c>
      <c r="AJ20" s="314">
        <f t="shared" si="21"/>
        <v>0</v>
      </c>
      <c r="AK20" s="315">
        <f t="shared" si="21"/>
        <v>0</v>
      </c>
      <c r="AL20" s="315">
        <f t="shared" si="21"/>
        <v>0</v>
      </c>
      <c r="AM20" s="315">
        <f t="shared" si="21"/>
        <v>0</v>
      </c>
      <c r="AN20" s="316">
        <f>SUM(N20:AM20)</f>
        <v>1315</v>
      </c>
      <c r="AO20" s="317"/>
      <c r="AP20" s="70" t="s">
        <v>35</v>
      </c>
      <c r="AQ20" s="70">
        <v>0</v>
      </c>
    </row>
    <row r="21" spans="1:43" x14ac:dyDescent="0.25">
      <c r="A21" s="229" t="s">
        <v>94</v>
      </c>
      <c r="B21" s="230" t="s">
        <v>89</v>
      </c>
      <c r="C21" s="231">
        <v>2</v>
      </c>
      <c r="D21" s="232" t="s">
        <v>113</v>
      </c>
      <c r="E21" s="233">
        <v>46076</v>
      </c>
      <c r="F21" s="234">
        <v>0.70833333333333337</v>
      </c>
      <c r="G21" s="235" t="s">
        <v>24</v>
      </c>
      <c r="H21" s="236"/>
      <c r="I21" s="237" t="s">
        <v>186</v>
      </c>
      <c r="J21" s="238" t="s">
        <v>188</v>
      </c>
      <c r="K21" s="3">
        <f t="shared" ref="K21:K49" si="22">WEEKDAY(E21)</f>
        <v>2</v>
      </c>
      <c r="L21">
        <f t="shared" si="2"/>
        <v>1</v>
      </c>
      <c r="M21" s="45">
        <f t="shared" ref="M21:M42" si="23">SUM(N21:AM21)</f>
        <v>85</v>
      </c>
      <c r="N21" s="48">
        <f t="shared" ref="N21:N49" si="24">IF(H21&lt;&gt;"",20,10)</f>
        <v>10</v>
      </c>
      <c r="O21" s="45">
        <f t="shared" ref="O21:X30" si="25">IF($G21=O$1,VLOOKUP($J21,$AP:$AQ,2,FALSE),IF($H21=O$1,70,0))</f>
        <v>0</v>
      </c>
      <c r="P21" s="45">
        <f t="shared" si="25"/>
        <v>0</v>
      </c>
      <c r="Q21" s="45">
        <f t="shared" si="25"/>
        <v>0</v>
      </c>
      <c r="R21" s="45">
        <f t="shared" si="25"/>
        <v>75</v>
      </c>
      <c r="S21" s="45">
        <f t="shared" si="25"/>
        <v>0</v>
      </c>
      <c r="T21" s="45">
        <f t="shared" si="25"/>
        <v>0</v>
      </c>
      <c r="U21" s="45">
        <f t="shared" si="25"/>
        <v>0</v>
      </c>
      <c r="V21" s="45">
        <f t="shared" si="25"/>
        <v>0</v>
      </c>
      <c r="W21" s="45">
        <f t="shared" si="25"/>
        <v>0</v>
      </c>
      <c r="X21" s="45">
        <f t="shared" si="25"/>
        <v>0</v>
      </c>
      <c r="Y21" s="45">
        <f t="shared" ref="Y21:AM30" si="26">IF($G21=Y$1,VLOOKUP($J21,$AP:$AQ,2,FALSE),IF($H21=Y$1,70,0))</f>
        <v>0</v>
      </c>
      <c r="Z21" s="45">
        <f t="shared" si="26"/>
        <v>0</v>
      </c>
      <c r="AA21" s="45">
        <f t="shared" si="26"/>
        <v>0</v>
      </c>
      <c r="AB21" s="45">
        <f t="shared" si="26"/>
        <v>0</v>
      </c>
      <c r="AC21" s="45">
        <f t="shared" si="26"/>
        <v>0</v>
      </c>
      <c r="AD21" s="45">
        <f t="shared" si="26"/>
        <v>0</v>
      </c>
      <c r="AE21" s="45">
        <f t="shared" si="26"/>
        <v>0</v>
      </c>
      <c r="AF21" s="45">
        <f t="shared" si="26"/>
        <v>0</v>
      </c>
      <c r="AG21" s="45">
        <f t="shared" si="26"/>
        <v>0</v>
      </c>
      <c r="AH21" s="45">
        <f t="shared" si="26"/>
        <v>0</v>
      </c>
      <c r="AI21" s="45">
        <f t="shared" si="26"/>
        <v>0</v>
      </c>
      <c r="AJ21" s="45">
        <f t="shared" si="26"/>
        <v>0</v>
      </c>
      <c r="AK21" s="45">
        <f t="shared" si="26"/>
        <v>0</v>
      </c>
      <c r="AL21" s="45">
        <f t="shared" si="26"/>
        <v>0</v>
      </c>
      <c r="AM21" s="45">
        <f t="shared" si="26"/>
        <v>0</v>
      </c>
      <c r="AP21" s="70" t="s">
        <v>196</v>
      </c>
      <c r="AQ21" s="70">
        <v>85</v>
      </c>
    </row>
    <row r="22" spans="1:43" x14ac:dyDescent="0.25">
      <c r="A22" s="251" t="s">
        <v>95</v>
      </c>
      <c r="B22" s="252" t="s">
        <v>92</v>
      </c>
      <c r="C22" s="253">
        <v>2</v>
      </c>
      <c r="D22" s="254" t="s">
        <v>113</v>
      </c>
      <c r="E22" s="255">
        <v>46076</v>
      </c>
      <c r="F22" s="256">
        <v>0.70833333333333337</v>
      </c>
      <c r="G22" s="319" t="s">
        <v>21</v>
      </c>
      <c r="H22" s="236"/>
      <c r="I22" s="257" t="s">
        <v>187</v>
      </c>
      <c r="J22" s="258" t="s">
        <v>188</v>
      </c>
      <c r="K22" s="3">
        <f t="shared" si="22"/>
        <v>2</v>
      </c>
      <c r="L22">
        <f t="shared" si="2"/>
        <v>1</v>
      </c>
      <c r="M22" s="45">
        <f t="shared" si="23"/>
        <v>85</v>
      </c>
      <c r="N22" s="48">
        <f t="shared" si="24"/>
        <v>10</v>
      </c>
      <c r="O22" s="45">
        <f t="shared" si="25"/>
        <v>0</v>
      </c>
      <c r="P22" s="45">
        <f t="shared" si="25"/>
        <v>0</v>
      </c>
      <c r="Q22" s="45">
        <f t="shared" si="25"/>
        <v>0</v>
      </c>
      <c r="R22" s="45">
        <f t="shared" si="25"/>
        <v>0</v>
      </c>
      <c r="S22" s="45">
        <f t="shared" si="25"/>
        <v>0</v>
      </c>
      <c r="T22" s="45">
        <f t="shared" si="25"/>
        <v>0</v>
      </c>
      <c r="U22" s="45">
        <f t="shared" si="25"/>
        <v>0</v>
      </c>
      <c r="V22" s="45">
        <f t="shared" si="25"/>
        <v>75</v>
      </c>
      <c r="W22" s="45">
        <f t="shared" si="25"/>
        <v>0</v>
      </c>
      <c r="X22" s="45">
        <f t="shared" si="25"/>
        <v>0</v>
      </c>
      <c r="Y22" s="45">
        <f t="shared" si="26"/>
        <v>0</v>
      </c>
      <c r="Z22" s="45">
        <f t="shared" si="26"/>
        <v>0</v>
      </c>
      <c r="AA22" s="45">
        <f t="shared" si="26"/>
        <v>0</v>
      </c>
      <c r="AB22" s="45">
        <f t="shared" si="26"/>
        <v>0</v>
      </c>
      <c r="AC22" s="45">
        <f t="shared" si="26"/>
        <v>0</v>
      </c>
      <c r="AD22" s="45">
        <f t="shared" si="26"/>
        <v>0</v>
      </c>
      <c r="AE22" s="45">
        <f t="shared" si="26"/>
        <v>0</v>
      </c>
      <c r="AF22" s="45">
        <f t="shared" si="26"/>
        <v>0</v>
      </c>
      <c r="AG22" s="45">
        <f t="shared" si="26"/>
        <v>0</v>
      </c>
      <c r="AH22" s="45">
        <f t="shared" si="26"/>
        <v>0</v>
      </c>
      <c r="AI22" s="45">
        <f t="shared" si="26"/>
        <v>0</v>
      </c>
      <c r="AJ22" s="45">
        <f t="shared" si="26"/>
        <v>0</v>
      </c>
      <c r="AK22" s="45">
        <f t="shared" si="26"/>
        <v>0</v>
      </c>
      <c r="AL22" s="45">
        <f t="shared" si="26"/>
        <v>0</v>
      </c>
      <c r="AM22" s="45">
        <f t="shared" si="26"/>
        <v>0</v>
      </c>
    </row>
    <row r="23" spans="1:43" x14ac:dyDescent="0.25">
      <c r="A23" s="268" t="s">
        <v>96</v>
      </c>
      <c r="B23" s="269" t="s">
        <v>98</v>
      </c>
      <c r="C23" s="270">
        <v>2</v>
      </c>
      <c r="D23" s="271" t="s">
        <v>113</v>
      </c>
      <c r="E23" s="272">
        <v>46077</v>
      </c>
      <c r="F23" s="273">
        <v>0.6875</v>
      </c>
      <c r="G23" s="274" t="s">
        <v>28</v>
      </c>
      <c r="H23" s="236"/>
      <c r="I23" s="275" t="s">
        <v>186</v>
      </c>
      <c r="J23" s="276" t="s">
        <v>188</v>
      </c>
      <c r="K23" s="3">
        <f t="shared" si="22"/>
        <v>3</v>
      </c>
      <c r="L23">
        <f t="shared" si="2"/>
        <v>1</v>
      </c>
      <c r="M23" s="45">
        <f t="shared" si="23"/>
        <v>85</v>
      </c>
      <c r="N23" s="48">
        <f t="shared" si="24"/>
        <v>10</v>
      </c>
      <c r="O23" s="45">
        <f t="shared" si="25"/>
        <v>0</v>
      </c>
      <c r="P23" s="45">
        <f t="shared" si="25"/>
        <v>0</v>
      </c>
      <c r="Q23" s="45">
        <f t="shared" si="25"/>
        <v>0</v>
      </c>
      <c r="R23" s="45">
        <f t="shared" si="25"/>
        <v>0</v>
      </c>
      <c r="S23" s="45">
        <f t="shared" si="25"/>
        <v>0</v>
      </c>
      <c r="T23" s="45">
        <f t="shared" si="25"/>
        <v>0</v>
      </c>
      <c r="U23" s="45">
        <f t="shared" si="25"/>
        <v>0</v>
      </c>
      <c r="V23" s="45">
        <f t="shared" si="25"/>
        <v>0</v>
      </c>
      <c r="W23" s="45">
        <f t="shared" si="25"/>
        <v>0</v>
      </c>
      <c r="X23" s="45">
        <f t="shared" si="25"/>
        <v>0</v>
      </c>
      <c r="Y23" s="45">
        <f t="shared" si="26"/>
        <v>0</v>
      </c>
      <c r="Z23" s="45">
        <f t="shared" si="26"/>
        <v>0</v>
      </c>
      <c r="AA23" s="45">
        <f t="shared" si="26"/>
        <v>75</v>
      </c>
      <c r="AB23" s="45">
        <f t="shared" si="26"/>
        <v>0</v>
      </c>
      <c r="AC23" s="45">
        <f t="shared" si="26"/>
        <v>0</v>
      </c>
      <c r="AD23" s="45">
        <f t="shared" si="26"/>
        <v>0</v>
      </c>
      <c r="AE23" s="45">
        <f t="shared" si="26"/>
        <v>0</v>
      </c>
      <c r="AF23" s="45">
        <f t="shared" si="26"/>
        <v>0</v>
      </c>
      <c r="AG23" s="45">
        <f t="shared" si="26"/>
        <v>0</v>
      </c>
      <c r="AH23" s="45">
        <f t="shared" si="26"/>
        <v>0</v>
      </c>
      <c r="AI23" s="45">
        <f t="shared" si="26"/>
        <v>0</v>
      </c>
      <c r="AJ23" s="45">
        <f t="shared" si="26"/>
        <v>0</v>
      </c>
      <c r="AK23" s="45">
        <f t="shared" si="26"/>
        <v>0</v>
      </c>
      <c r="AL23" s="45">
        <f t="shared" si="26"/>
        <v>0</v>
      </c>
      <c r="AM23" s="45">
        <f t="shared" si="26"/>
        <v>0</v>
      </c>
    </row>
    <row r="24" spans="1:43" x14ac:dyDescent="0.25">
      <c r="A24" s="259" t="s">
        <v>89</v>
      </c>
      <c r="B24" s="260" t="s">
        <v>96</v>
      </c>
      <c r="C24" s="261">
        <v>2</v>
      </c>
      <c r="D24" s="262" t="s">
        <v>113</v>
      </c>
      <c r="E24" s="263">
        <v>46077</v>
      </c>
      <c r="F24" s="264">
        <v>0.79166666666666663</v>
      </c>
      <c r="G24" s="265" t="s">
        <v>24</v>
      </c>
      <c r="H24" s="265" t="s">
        <v>20</v>
      </c>
      <c r="I24" s="266" t="s">
        <v>186</v>
      </c>
      <c r="J24" s="267" t="s">
        <v>190</v>
      </c>
      <c r="K24" s="3">
        <f t="shared" si="22"/>
        <v>3</v>
      </c>
      <c r="L24" t="str">
        <f t="shared" si="2"/>
        <v/>
      </c>
      <c r="M24" s="45">
        <f t="shared" si="23"/>
        <v>165</v>
      </c>
      <c r="N24" s="48">
        <f t="shared" si="24"/>
        <v>20</v>
      </c>
      <c r="O24" s="45">
        <f t="shared" si="25"/>
        <v>0</v>
      </c>
      <c r="P24" s="45">
        <f t="shared" si="25"/>
        <v>0</v>
      </c>
      <c r="Q24" s="45">
        <f t="shared" si="25"/>
        <v>0</v>
      </c>
      <c r="R24" s="45">
        <f t="shared" si="25"/>
        <v>75</v>
      </c>
      <c r="S24" s="45">
        <f t="shared" si="25"/>
        <v>70</v>
      </c>
      <c r="T24" s="45">
        <f t="shared" si="25"/>
        <v>0</v>
      </c>
      <c r="U24" s="45">
        <f t="shared" si="25"/>
        <v>0</v>
      </c>
      <c r="V24" s="45">
        <f t="shared" si="25"/>
        <v>0</v>
      </c>
      <c r="W24" s="45">
        <f t="shared" si="25"/>
        <v>0</v>
      </c>
      <c r="X24" s="45">
        <f t="shared" si="25"/>
        <v>0</v>
      </c>
      <c r="Y24" s="45">
        <f t="shared" si="26"/>
        <v>0</v>
      </c>
      <c r="Z24" s="45">
        <f t="shared" si="26"/>
        <v>0</v>
      </c>
      <c r="AA24" s="45">
        <f t="shared" si="26"/>
        <v>0</v>
      </c>
      <c r="AB24" s="45">
        <f t="shared" si="26"/>
        <v>0</v>
      </c>
      <c r="AC24" s="45">
        <f t="shared" si="26"/>
        <v>0</v>
      </c>
      <c r="AD24" s="45">
        <f t="shared" si="26"/>
        <v>0</v>
      </c>
      <c r="AE24" s="45">
        <f t="shared" si="26"/>
        <v>0</v>
      </c>
      <c r="AF24" s="45">
        <f t="shared" si="26"/>
        <v>0</v>
      </c>
      <c r="AG24" s="45">
        <f t="shared" si="26"/>
        <v>0</v>
      </c>
      <c r="AH24" s="45">
        <f t="shared" si="26"/>
        <v>0</v>
      </c>
      <c r="AI24" s="45">
        <f t="shared" si="26"/>
        <v>0</v>
      </c>
      <c r="AJ24" s="45">
        <f t="shared" si="26"/>
        <v>0</v>
      </c>
      <c r="AK24" s="45">
        <f t="shared" si="26"/>
        <v>0</v>
      </c>
      <c r="AL24" s="45">
        <f t="shared" si="26"/>
        <v>0</v>
      </c>
      <c r="AM24" s="45">
        <f t="shared" si="26"/>
        <v>0</v>
      </c>
    </row>
    <row r="25" spans="1:43" x14ac:dyDescent="0.25">
      <c r="A25" s="320" t="s">
        <v>100</v>
      </c>
      <c r="B25" s="321" t="s">
        <v>94</v>
      </c>
      <c r="C25" s="322">
        <v>2</v>
      </c>
      <c r="D25" s="323" t="s">
        <v>113</v>
      </c>
      <c r="E25" s="324">
        <v>46077</v>
      </c>
      <c r="F25" s="325">
        <v>0.6875</v>
      </c>
      <c r="G25" s="326" t="s">
        <v>20</v>
      </c>
      <c r="H25" s="236"/>
      <c r="I25" s="327" t="s">
        <v>187</v>
      </c>
      <c r="J25" s="328" t="s">
        <v>189</v>
      </c>
      <c r="K25" s="3">
        <f t="shared" si="22"/>
        <v>3</v>
      </c>
      <c r="L25">
        <f t="shared" si="2"/>
        <v>1</v>
      </c>
      <c r="M25" s="45">
        <f t="shared" si="23"/>
        <v>80</v>
      </c>
      <c r="N25" s="48">
        <f t="shared" si="24"/>
        <v>10</v>
      </c>
      <c r="O25" s="45">
        <f t="shared" si="25"/>
        <v>0</v>
      </c>
      <c r="P25" s="45">
        <f t="shared" si="25"/>
        <v>0</v>
      </c>
      <c r="Q25" s="45">
        <f t="shared" si="25"/>
        <v>0</v>
      </c>
      <c r="R25" s="45">
        <f t="shared" si="25"/>
        <v>0</v>
      </c>
      <c r="S25" s="45">
        <f t="shared" si="25"/>
        <v>70</v>
      </c>
      <c r="T25" s="45">
        <f t="shared" si="25"/>
        <v>0</v>
      </c>
      <c r="U25" s="45">
        <f t="shared" si="25"/>
        <v>0</v>
      </c>
      <c r="V25" s="45">
        <f t="shared" si="25"/>
        <v>0</v>
      </c>
      <c r="W25" s="45">
        <f t="shared" si="25"/>
        <v>0</v>
      </c>
      <c r="X25" s="45">
        <f t="shared" si="25"/>
        <v>0</v>
      </c>
      <c r="Y25" s="45">
        <f t="shared" si="26"/>
        <v>0</v>
      </c>
      <c r="Z25" s="45">
        <f t="shared" si="26"/>
        <v>0</v>
      </c>
      <c r="AA25" s="45">
        <f t="shared" si="26"/>
        <v>0</v>
      </c>
      <c r="AB25" s="45">
        <f t="shared" si="26"/>
        <v>0</v>
      </c>
      <c r="AC25" s="45">
        <f t="shared" si="26"/>
        <v>0</v>
      </c>
      <c r="AD25" s="45">
        <f t="shared" si="26"/>
        <v>0</v>
      </c>
      <c r="AE25" s="45">
        <f t="shared" si="26"/>
        <v>0</v>
      </c>
      <c r="AF25" s="45">
        <f t="shared" si="26"/>
        <v>0</v>
      </c>
      <c r="AG25" s="45">
        <f t="shared" si="26"/>
        <v>0</v>
      </c>
      <c r="AH25" s="45">
        <f t="shared" si="26"/>
        <v>0</v>
      </c>
      <c r="AI25" s="45">
        <f t="shared" si="26"/>
        <v>0</v>
      </c>
      <c r="AJ25" s="45">
        <f t="shared" si="26"/>
        <v>0</v>
      </c>
      <c r="AK25" s="45">
        <f t="shared" si="26"/>
        <v>0</v>
      </c>
      <c r="AL25" s="45">
        <f t="shared" si="26"/>
        <v>0</v>
      </c>
      <c r="AM25" s="45">
        <f t="shared" si="26"/>
        <v>0</v>
      </c>
    </row>
    <row r="26" spans="1:43" x14ac:dyDescent="0.25">
      <c r="A26" s="268" t="s">
        <v>99</v>
      </c>
      <c r="B26" s="269" t="s">
        <v>97</v>
      </c>
      <c r="C26" s="270">
        <v>2</v>
      </c>
      <c r="D26" s="271" t="s">
        <v>113</v>
      </c>
      <c r="E26" s="272">
        <v>46077</v>
      </c>
      <c r="F26" s="273">
        <v>0.79166666666666663</v>
      </c>
      <c r="G26" s="274" t="s">
        <v>19</v>
      </c>
      <c r="H26" s="236"/>
      <c r="I26" s="275" t="s">
        <v>187</v>
      </c>
      <c r="J26" s="276" t="s">
        <v>188</v>
      </c>
      <c r="K26" s="3">
        <f t="shared" si="22"/>
        <v>3</v>
      </c>
      <c r="L26">
        <f t="shared" si="2"/>
        <v>1</v>
      </c>
      <c r="M26" s="45">
        <f t="shared" si="23"/>
        <v>85</v>
      </c>
      <c r="N26" s="48">
        <f t="shared" si="24"/>
        <v>10</v>
      </c>
      <c r="O26" s="45">
        <f t="shared" si="25"/>
        <v>75</v>
      </c>
      <c r="P26" s="45">
        <f t="shared" si="25"/>
        <v>0</v>
      </c>
      <c r="Q26" s="45">
        <f t="shared" si="25"/>
        <v>0</v>
      </c>
      <c r="R26" s="45">
        <f t="shared" si="25"/>
        <v>0</v>
      </c>
      <c r="S26" s="45">
        <f t="shared" si="25"/>
        <v>0</v>
      </c>
      <c r="T26" s="45">
        <f t="shared" si="25"/>
        <v>0</v>
      </c>
      <c r="U26" s="45">
        <f t="shared" si="25"/>
        <v>0</v>
      </c>
      <c r="V26" s="45">
        <f t="shared" si="25"/>
        <v>0</v>
      </c>
      <c r="W26" s="45">
        <f t="shared" si="25"/>
        <v>0</v>
      </c>
      <c r="X26" s="45">
        <f t="shared" si="25"/>
        <v>0</v>
      </c>
      <c r="Y26" s="45">
        <f t="shared" si="26"/>
        <v>0</v>
      </c>
      <c r="Z26" s="45">
        <f t="shared" si="26"/>
        <v>0</v>
      </c>
      <c r="AA26" s="45">
        <f t="shared" si="26"/>
        <v>0</v>
      </c>
      <c r="AB26" s="45">
        <f t="shared" si="26"/>
        <v>0</v>
      </c>
      <c r="AC26" s="45">
        <f t="shared" si="26"/>
        <v>0</v>
      </c>
      <c r="AD26" s="45">
        <f t="shared" si="26"/>
        <v>0</v>
      </c>
      <c r="AE26" s="45">
        <f t="shared" si="26"/>
        <v>0</v>
      </c>
      <c r="AF26" s="45">
        <f t="shared" si="26"/>
        <v>0</v>
      </c>
      <c r="AG26" s="45">
        <f t="shared" si="26"/>
        <v>0</v>
      </c>
      <c r="AH26" s="45">
        <f t="shared" si="26"/>
        <v>0</v>
      </c>
      <c r="AI26" s="45">
        <f t="shared" si="26"/>
        <v>0</v>
      </c>
      <c r="AJ26" s="45">
        <f t="shared" si="26"/>
        <v>0</v>
      </c>
      <c r="AK26" s="45">
        <f t="shared" si="26"/>
        <v>0</v>
      </c>
      <c r="AL26" s="45">
        <f t="shared" si="26"/>
        <v>0</v>
      </c>
      <c r="AM26" s="45">
        <f t="shared" si="26"/>
        <v>0</v>
      </c>
    </row>
    <row r="27" spans="1:43" x14ac:dyDescent="0.25">
      <c r="A27" s="242" t="s">
        <v>94</v>
      </c>
      <c r="B27" s="243" t="s">
        <v>93</v>
      </c>
      <c r="C27" s="244">
        <v>2</v>
      </c>
      <c r="D27" s="245" t="s">
        <v>113</v>
      </c>
      <c r="E27" s="246">
        <v>46078</v>
      </c>
      <c r="F27" s="247">
        <v>0.70833333333333337</v>
      </c>
      <c r="G27" s="248" t="s">
        <v>21</v>
      </c>
      <c r="H27" s="248" t="s">
        <v>73</v>
      </c>
      <c r="I27" s="249" t="s">
        <v>186</v>
      </c>
      <c r="J27" s="250" t="s">
        <v>190</v>
      </c>
      <c r="K27" s="3">
        <f t="shared" si="22"/>
        <v>4</v>
      </c>
      <c r="L27" t="str">
        <f t="shared" si="2"/>
        <v/>
      </c>
      <c r="M27" s="45">
        <f t="shared" si="23"/>
        <v>165</v>
      </c>
      <c r="N27" s="48">
        <f t="shared" si="24"/>
        <v>20</v>
      </c>
      <c r="O27" s="45">
        <f t="shared" si="25"/>
        <v>0</v>
      </c>
      <c r="P27" s="45">
        <f t="shared" si="25"/>
        <v>0</v>
      </c>
      <c r="Q27" s="45">
        <f t="shared" si="25"/>
        <v>0</v>
      </c>
      <c r="R27" s="45">
        <f t="shared" si="25"/>
        <v>0</v>
      </c>
      <c r="S27" s="45">
        <f t="shared" si="25"/>
        <v>0</v>
      </c>
      <c r="T27" s="45">
        <f t="shared" si="25"/>
        <v>0</v>
      </c>
      <c r="U27" s="45">
        <f t="shared" si="25"/>
        <v>70</v>
      </c>
      <c r="V27" s="45">
        <f t="shared" si="25"/>
        <v>75</v>
      </c>
      <c r="W27" s="45">
        <f t="shared" si="25"/>
        <v>0</v>
      </c>
      <c r="X27" s="45">
        <f t="shared" si="25"/>
        <v>0</v>
      </c>
      <c r="Y27" s="45">
        <f t="shared" si="26"/>
        <v>0</v>
      </c>
      <c r="Z27" s="45">
        <f t="shared" si="26"/>
        <v>0</v>
      </c>
      <c r="AA27" s="45">
        <f t="shared" si="26"/>
        <v>0</v>
      </c>
      <c r="AB27" s="45">
        <f t="shared" si="26"/>
        <v>0</v>
      </c>
      <c r="AC27" s="45">
        <f t="shared" si="26"/>
        <v>0</v>
      </c>
      <c r="AD27" s="45">
        <f t="shared" si="26"/>
        <v>0</v>
      </c>
      <c r="AE27" s="45">
        <f t="shared" si="26"/>
        <v>0</v>
      </c>
      <c r="AF27" s="45">
        <f t="shared" si="26"/>
        <v>0</v>
      </c>
      <c r="AG27" s="45">
        <f t="shared" si="26"/>
        <v>0</v>
      </c>
      <c r="AH27" s="45">
        <f t="shared" si="26"/>
        <v>0</v>
      </c>
      <c r="AI27" s="45">
        <f t="shared" si="26"/>
        <v>0</v>
      </c>
      <c r="AJ27" s="45">
        <f t="shared" si="26"/>
        <v>0</v>
      </c>
      <c r="AK27" s="45">
        <f t="shared" si="26"/>
        <v>0</v>
      </c>
      <c r="AL27" s="45">
        <f t="shared" si="26"/>
        <v>0</v>
      </c>
      <c r="AM27" s="45">
        <f t="shared" si="26"/>
        <v>0</v>
      </c>
    </row>
    <row r="28" spans="1:43" x14ac:dyDescent="0.25">
      <c r="A28" s="329" t="s">
        <v>92</v>
      </c>
      <c r="B28" s="330" t="s">
        <v>95</v>
      </c>
      <c r="C28" s="331">
        <v>2</v>
      </c>
      <c r="D28" s="332" t="s">
        <v>113</v>
      </c>
      <c r="E28" s="333">
        <v>46078</v>
      </c>
      <c r="F28" s="334">
        <v>0.70833333333333337</v>
      </c>
      <c r="G28" s="335" t="s">
        <v>77</v>
      </c>
      <c r="H28" s="236"/>
      <c r="I28" s="336" t="s">
        <v>187</v>
      </c>
      <c r="J28" s="337" t="s">
        <v>189</v>
      </c>
      <c r="K28" s="3">
        <f t="shared" si="22"/>
        <v>4</v>
      </c>
      <c r="L28">
        <f t="shared" si="2"/>
        <v>1</v>
      </c>
      <c r="M28" s="45">
        <f t="shared" si="23"/>
        <v>80</v>
      </c>
      <c r="N28" s="48">
        <f t="shared" si="24"/>
        <v>10</v>
      </c>
      <c r="O28" s="45">
        <f t="shared" si="25"/>
        <v>0</v>
      </c>
      <c r="P28" s="45">
        <f t="shared" si="25"/>
        <v>0</v>
      </c>
      <c r="Q28" s="45">
        <f t="shared" si="25"/>
        <v>0</v>
      </c>
      <c r="R28" s="45">
        <f t="shared" si="25"/>
        <v>0</v>
      </c>
      <c r="S28" s="45">
        <f t="shared" si="25"/>
        <v>0</v>
      </c>
      <c r="T28" s="45">
        <f t="shared" si="25"/>
        <v>0</v>
      </c>
      <c r="U28" s="45">
        <f t="shared" si="25"/>
        <v>0</v>
      </c>
      <c r="V28" s="45">
        <f t="shared" si="25"/>
        <v>0</v>
      </c>
      <c r="W28" s="45">
        <f t="shared" si="25"/>
        <v>0</v>
      </c>
      <c r="X28" s="45">
        <f t="shared" si="25"/>
        <v>0</v>
      </c>
      <c r="Y28" s="45">
        <f t="shared" si="26"/>
        <v>0</v>
      </c>
      <c r="Z28" s="45">
        <f t="shared" si="26"/>
        <v>70</v>
      </c>
      <c r="AA28" s="45">
        <f t="shared" si="26"/>
        <v>0</v>
      </c>
      <c r="AB28" s="45">
        <f t="shared" si="26"/>
        <v>0</v>
      </c>
      <c r="AC28" s="45">
        <f t="shared" si="26"/>
        <v>0</v>
      </c>
      <c r="AD28" s="45">
        <f t="shared" si="26"/>
        <v>0</v>
      </c>
      <c r="AE28" s="45">
        <f t="shared" si="26"/>
        <v>0</v>
      </c>
      <c r="AF28" s="45">
        <f t="shared" si="26"/>
        <v>0</v>
      </c>
      <c r="AG28" s="45">
        <f t="shared" si="26"/>
        <v>0</v>
      </c>
      <c r="AH28" s="45">
        <f t="shared" si="26"/>
        <v>0</v>
      </c>
      <c r="AI28" s="45">
        <f t="shared" si="26"/>
        <v>0</v>
      </c>
      <c r="AJ28" s="45">
        <f t="shared" si="26"/>
        <v>0</v>
      </c>
      <c r="AK28" s="45">
        <f t="shared" si="26"/>
        <v>0</v>
      </c>
      <c r="AL28" s="45">
        <f t="shared" si="26"/>
        <v>0</v>
      </c>
      <c r="AM28" s="45">
        <f t="shared" si="26"/>
        <v>0</v>
      </c>
    </row>
    <row r="29" spans="1:43" x14ac:dyDescent="0.25">
      <c r="A29" s="320" t="s">
        <v>98</v>
      </c>
      <c r="B29" s="321" t="s">
        <v>89</v>
      </c>
      <c r="C29" s="322">
        <v>2</v>
      </c>
      <c r="D29" s="323" t="s">
        <v>113</v>
      </c>
      <c r="E29" s="324">
        <v>46079</v>
      </c>
      <c r="F29" s="325">
        <v>0.6875</v>
      </c>
      <c r="G29" s="326" t="s">
        <v>20</v>
      </c>
      <c r="H29" s="236"/>
      <c r="I29" s="327" t="s">
        <v>186</v>
      </c>
      <c r="J29" s="328" t="s">
        <v>189</v>
      </c>
      <c r="K29" s="3">
        <f t="shared" si="22"/>
        <v>5</v>
      </c>
      <c r="L29">
        <f t="shared" si="2"/>
        <v>1</v>
      </c>
      <c r="M29" s="45">
        <f t="shared" si="23"/>
        <v>80</v>
      </c>
      <c r="N29" s="48">
        <f t="shared" si="24"/>
        <v>10</v>
      </c>
      <c r="O29" s="45">
        <f t="shared" si="25"/>
        <v>0</v>
      </c>
      <c r="P29" s="45">
        <f t="shared" si="25"/>
        <v>0</v>
      </c>
      <c r="Q29" s="45">
        <f t="shared" si="25"/>
        <v>0</v>
      </c>
      <c r="R29" s="45">
        <f t="shared" si="25"/>
        <v>0</v>
      </c>
      <c r="S29" s="45">
        <f t="shared" si="25"/>
        <v>70</v>
      </c>
      <c r="T29" s="45">
        <f t="shared" si="25"/>
        <v>0</v>
      </c>
      <c r="U29" s="45">
        <f t="shared" si="25"/>
        <v>0</v>
      </c>
      <c r="V29" s="45">
        <f t="shared" si="25"/>
        <v>0</v>
      </c>
      <c r="W29" s="45">
        <f t="shared" si="25"/>
        <v>0</v>
      </c>
      <c r="X29" s="45">
        <f t="shared" si="25"/>
        <v>0</v>
      </c>
      <c r="Y29" s="45">
        <f t="shared" si="26"/>
        <v>0</v>
      </c>
      <c r="Z29" s="45">
        <f t="shared" si="26"/>
        <v>0</v>
      </c>
      <c r="AA29" s="45">
        <f t="shared" si="26"/>
        <v>0</v>
      </c>
      <c r="AB29" s="45">
        <f t="shared" si="26"/>
        <v>0</v>
      </c>
      <c r="AC29" s="45">
        <f t="shared" si="26"/>
        <v>0</v>
      </c>
      <c r="AD29" s="45">
        <f t="shared" si="26"/>
        <v>0</v>
      </c>
      <c r="AE29" s="45">
        <f t="shared" si="26"/>
        <v>0</v>
      </c>
      <c r="AF29" s="45">
        <f t="shared" si="26"/>
        <v>0</v>
      </c>
      <c r="AG29" s="45">
        <f t="shared" si="26"/>
        <v>0</v>
      </c>
      <c r="AH29" s="45">
        <f t="shared" si="26"/>
        <v>0</v>
      </c>
      <c r="AI29" s="45">
        <f t="shared" si="26"/>
        <v>0</v>
      </c>
      <c r="AJ29" s="45">
        <f t="shared" si="26"/>
        <v>0</v>
      </c>
      <c r="AK29" s="45">
        <f t="shared" si="26"/>
        <v>0</v>
      </c>
      <c r="AL29" s="45">
        <f t="shared" si="26"/>
        <v>0</v>
      </c>
      <c r="AM29" s="45">
        <f t="shared" si="26"/>
        <v>0</v>
      </c>
    </row>
    <row r="30" spans="1:43" x14ac:dyDescent="0.25">
      <c r="A30" s="259" t="s">
        <v>92</v>
      </c>
      <c r="B30" s="260" t="s">
        <v>97</v>
      </c>
      <c r="C30" s="261">
        <v>2</v>
      </c>
      <c r="D30" s="262" t="s">
        <v>113</v>
      </c>
      <c r="E30" s="263">
        <v>46079</v>
      </c>
      <c r="F30" s="264">
        <v>0.79166666666666663</v>
      </c>
      <c r="G30" s="265" t="s">
        <v>19</v>
      </c>
      <c r="H30" s="265" t="s">
        <v>20</v>
      </c>
      <c r="I30" s="266" t="s">
        <v>186</v>
      </c>
      <c r="J30" s="267" t="s">
        <v>190</v>
      </c>
      <c r="K30" s="3">
        <f t="shared" si="22"/>
        <v>5</v>
      </c>
      <c r="L30" t="str">
        <f t="shared" si="2"/>
        <v/>
      </c>
      <c r="M30" s="45">
        <f t="shared" si="23"/>
        <v>165</v>
      </c>
      <c r="N30" s="48">
        <f t="shared" si="24"/>
        <v>20</v>
      </c>
      <c r="O30" s="45">
        <f t="shared" si="25"/>
        <v>75</v>
      </c>
      <c r="P30" s="45">
        <f t="shared" si="25"/>
        <v>0</v>
      </c>
      <c r="Q30" s="45">
        <f t="shared" si="25"/>
        <v>0</v>
      </c>
      <c r="R30" s="45">
        <f t="shared" si="25"/>
        <v>0</v>
      </c>
      <c r="S30" s="45">
        <f t="shared" si="25"/>
        <v>70</v>
      </c>
      <c r="T30" s="45">
        <f t="shared" si="25"/>
        <v>0</v>
      </c>
      <c r="U30" s="45">
        <f t="shared" si="25"/>
        <v>0</v>
      </c>
      <c r="V30" s="45">
        <f t="shared" si="25"/>
        <v>0</v>
      </c>
      <c r="W30" s="45">
        <f t="shared" si="25"/>
        <v>0</v>
      </c>
      <c r="X30" s="45">
        <f t="shared" si="25"/>
        <v>0</v>
      </c>
      <c r="Y30" s="45">
        <f t="shared" si="26"/>
        <v>0</v>
      </c>
      <c r="Z30" s="45">
        <f t="shared" si="26"/>
        <v>0</v>
      </c>
      <c r="AA30" s="45">
        <f t="shared" si="26"/>
        <v>0</v>
      </c>
      <c r="AB30" s="45">
        <f t="shared" si="26"/>
        <v>0</v>
      </c>
      <c r="AC30" s="45">
        <f t="shared" si="26"/>
        <v>0</v>
      </c>
      <c r="AD30" s="45">
        <f t="shared" si="26"/>
        <v>0</v>
      </c>
      <c r="AE30" s="45">
        <f t="shared" si="26"/>
        <v>0</v>
      </c>
      <c r="AF30" s="45">
        <f t="shared" si="26"/>
        <v>0</v>
      </c>
      <c r="AG30" s="45">
        <f t="shared" si="26"/>
        <v>0</v>
      </c>
      <c r="AH30" s="45">
        <f t="shared" si="26"/>
        <v>0</v>
      </c>
      <c r="AI30" s="45">
        <f t="shared" si="26"/>
        <v>0</v>
      </c>
      <c r="AJ30" s="45">
        <f t="shared" si="26"/>
        <v>0</v>
      </c>
      <c r="AK30" s="45">
        <f t="shared" si="26"/>
        <v>0</v>
      </c>
      <c r="AL30" s="45">
        <f t="shared" si="26"/>
        <v>0</v>
      </c>
      <c r="AM30" s="45">
        <f t="shared" si="26"/>
        <v>0</v>
      </c>
    </row>
    <row r="31" spans="1:43" x14ac:dyDescent="0.25">
      <c r="A31" s="320" t="s">
        <v>99</v>
      </c>
      <c r="B31" s="321" t="s">
        <v>97</v>
      </c>
      <c r="C31" s="322">
        <v>2</v>
      </c>
      <c r="D31" s="323" t="s">
        <v>113</v>
      </c>
      <c r="E31" s="324">
        <v>46079</v>
      </c>
      <c r="F31" s="325">
        <v>0.6875</v>
      </c>
      <c r="G31" s="326" t="s">
        <v>107</v>
      </c>
      <c r="H31" s="236"/>
      <c r="I31" s="327" t="s">
        <v>187</v>
      </c>
      <c r="J31" s="328" t="s">
        <v>189</v>
      </c>
      <c r="K31" s="3">
        <f t="shared" si="22"/>
        <v>5</v>
      </c>
      <c r="L31">
        <f t="shared" si="2"/>
        <v>1</v>
      </c>
      <c r="M31" s="45">
        <f t="shared" si="23"/>
        <v>80</v>
      </c>
      <c r="N31" s="48">
        <f t="shared" si="24"/>
        <v>10</v>
      </c>
      <c r="O31" s="45">
        <f t="shared" ref="O31:X42" si="27">IF($G31=O$1,VLOOKUP($J31,$AP:$AQ,2,FALSE),IF($H31=O$1,70,0))</f>
        <v>0</v>
      </c>
      <c r="P31" s="45">
        <f t="shared" si="27"/>
        <v>0</v>
      </c>
      <c r="Q31" s="45">
        <f t="shared" si="27"/>
        <v>0</v>
      </c>
      <c r="R31" s="45">
        <f t="shared" si="27"/>
        <v>0</v>
      </c>
      <c r="S31" s="45">
        <f t="shared" si="27"/>
        <v>0</v>
      </c>
      <c r="T31" s="45">
        <f t="shared" si="27"/>
        <v>0</v>
      </c>
      <c r="U31" s="45">
        <f t="shared" si="27"/>
        <v>0</v>
      </c>
      <c r="V31" s="45">
        <f t="shared" si="27"/>
        <v>0</v>
      </c>
      <c r="W31" s="45">
        <f t="shared" si="27"/>
        <v>0</v>
      </c>
      <c r="X31" s="45">
        <f t="shared" si="27"/>
        <v>0</v>
      </c>
      <c r="Y31" s="45">
        <f t="shared" ref="Y31:AM42" si="28">IF($G31=Y$1,VLOOKUP($J31,$AP:$AQ,2,FALSE),IF($H31=Y$1,70,0))</f>
        <v>0</v>
      </c>
      <c r="Z31" s="45">
        <f t="shared" si="28"/>
        <v>0</v>
      </c>
      <c r="AA31" s="45">
        <f t="shared" si="28"/>
        <v>0</v>
      </c>
      <c r="AB31" s="45">
        <f t="shared" si="28"/>
        <v>0</v>
      </c>
      <c r="AC31" s="45">
        <f t="shared" si="28"/>
        <v>0</v>
      </c>
      <c r="AD31" s="45">
        <f t="shared" si="28"/>
        <v>0</v>
      </c>
      <c r="AE31" s="45">
        <f t="shared" si="28"/>
        <v>70</v>
      </c>
      <c r="AF31" s="45">
        <f t="shared" si="28"/>
        <v>0</v>
      </c>
      <c r="AG31" s="45">
        <f t="shared" si="28"/>
        <v>0</v>
      </c>
      <c r="AH31" s="45">
        <f t="shared" si="28"/>
        <v>0</v>
      </c>
      <c r="AI31" s="45">
        <f t="shared" si="28"/>
        <v>0</v>
      </c>
      <c r="AJ31" s="45">
        <f t="shared" si="28"/>
        <v>0</v>
      </c>
      <c r="AK31" s="45">
        <f t="shared" si="28"/>
        <v>0</v>
      </c>
      <c r="AL31" s="45">
        <f t="shared" si="28"/>
        <v>0</v>
      </c>
      <c r="AM31" s="45">
        <f t="shared" si="28"/>
        <v>0</v>
      </c>
    </row>
    <row r="32" spans="1:43" x14ac:dyDescent="0.25">
      <c r="A32" s="268" t="s">
        <v>90</v>
      </c>
      <c r="B32" s="269" t="s">
        <v>93</v>
      </c>
      <c r="C32" s="270">
        <v>2</v>
      </c>
      <c r="D32" s="271" t="s">
        <v>113</v>
      </c>
      <c r="E32" s="272">
        <v>46079</v>
      </c>
      <c r="F32" s="273">
        <v>0.79166666666666663</v>
      </c>
      <c r="G32" s="274" t="s">
        <v>21</v>
      </c>
      <c r="H32" s="236"/>
      <c r="I32" s="275" t="s">
        <v>187</v>
      </c>
      <c r="J32" s="276" t="s">
        <v>188</v>
      </c>
      <c r="K32" s="3">
        <f t="shared" si="22"/>
        <v>5</v>
      </c>
      <c r="L32">
        <f t="shared" si="2"/>
        <v>1</v>
      </c>
      <c r="M32" s="45">
        <f t="shared" si="23"/>
        <v>85</v>
      </c>
      <c r="N32" s="48">
        <f t="shared" si="24"/>
        <v>10</v>
      </c>
      <c r="O32" s="45">
        <f t="shared" si="27"/>
        <v>0</v>
      </c>
      <c r="P32" s="45">
        <f t="shared" si="27"/>
        <v>0</v>
      </c>
      <c r="Q32" s="45">
        <f t="shared" si="27"/>
        <v>0</v>
      </c>
      <c r="R32" s="45">
        <f t="shared" si="27"/>
        <v>0</v>
      </c>
      <c r="S32" s="45">
        <f t="shared" si="27"/>
        <v>0</v>
      </c>
      <c r="T32" s="45">
        <f t="shared" si="27"/>
        <v>0</v>
      </c>
      <c r="U32" s="45">
        <f t="shared" si="27"/>
        <v>0</v>
      </c>
      <c r="V32" s="45">
        <f t="shared" si="27"/>
        <v>75</v>
      </c>
      <c r="W32" s="45">
        <f t="shared" si="27"/>
        <v>0</v>
      </c>
      <c r="X32" s="45">
        <f t="shared" si="27"/>
        <v>0</v>
      </c>
      <c r="Y32" s="45">
        <f t="shared" si="28"/>
        <v>0</v>
      </c>
      <c r="Z32" s="45">
        <f t="shared" si="28"/>
        <v>0</v>
      </c>
      <c r="AA32" s="45">
        <f t="shared" si="28"/>
        <v>0</v>
      </c>
      <c r="AB32" s="45">
        <f t="shared" si="28"/>
        <v>0</v>
      </c>
      <c r="AC32" s="45">
        <f t="shared" si="28"/>
        <v>0</v>
      </c>
      <c r="AD32" s="45">
        <f t="shared" si="28"/>
        <v>0</v>
      </c>
      <c r="AE32" s="45">
        <f t="shared" si="28"/>
        <v>0</v>
      </c>
      <c r="AF32" s="45">
        <f t="shared" si="28"/>
        <v>0</v>
      </c>
      <c r="AG32" s="45">
        <f t="shared" si="28"/>
        <v>0</v>
      </c>
      <c r="AH32" s="45">
        <f t="shared" si="28"/>
        <v>0</v>
      </c>
      <c r="AI32" s="45">
        <f t="shared" si="28"/>
        <v>0</v>
      </c>
      <c r="AJ32" s="45">
        <f t="shared" si="28"/>
        <v>0</v>
      </c>
      <c r="AK32" s="45">
        <f t="shared" si="28"/>
        <v>0</v>
      </c>
      <c r="AL32" s="45">
        <f t="shared" si="28"/>
        <v>0</v>
      </c>
      <c r="AM32" s="45">
        <f t="shared" si="28"/>
        <v>0</v>
      </c>
    </row>
    <row r="33" spans="1:39" x14ac:dyDescent="0.25">
      <c r="A33" s="329" t="s">
        <v>90</v>
      </c>
      <c r="B33" s="330" t="s">
        <v>93</v>
      </c>
      <c r="C33" s="331">
        <v>2</v>
      </c>
      <c r="D33" s="332" t="s">
        <v>113</v>
      </c>
      <c r="E33" s="333">
        <v>46080</v>
      </c>
      <c r="F33" s="334">
        <v>0.70833333333333337</v>
      </c>
      <c r="G33" s="335" t="s">
        <v>102</v>
      </c>
      <c r="H33" s="236"/>
      <c r="I33" s="336" t="s">
        <v>186</v>
      </c>
      <c r="J33" s="337" t="s">
        <v>189</v>
      </c>
      <c r="K33" s="3">
        <f t="shared" si="22"/>
        <v>6</v>
      </c>
      <c r="L33">
        <f t="shared" si="2"/>
        <v>1</v>
      </c>
      <c r="M33" s="45">
        <f t="shared" si="23"/>
        <v>80</v>
      </c>
      <c r="N33" s="48">
        <f t="shared" si="24"/>
        <v>10</v>
      </c>
      <c r="O33" s="45">
        <f t="shared" si="27"/>
        <v>0</v>
      </c>
      <c r="P33" s="45">
        <f t="shared" si="27"/>
        <v>0</v>
      </c>
      <c r="Q33" s="45">
        <f t="shared" si="27"/>
        <v>0</v>
      </c>
      <c r="R33" s="45">
        <f t="shared" si="27"/>
        <v>0</v>
      </c>
      <c r="S33" s="45">
        <f t="shared" si="27"/>
        <v>0</v>
      </c>
      <c r="T33" s="45">
        <f t="shared" si="27"/>
        <v>0</v>
      </c>
      <c r="U33" s="45">
        <f t="shared" si="27"/>
        <v>0</v>
      </c>
      <c r="V33" s="45">
        <f t="shared" si="27"/>
        <v>0</v>
      </c>
      <c r="W33" s="45">
        <f t="shared" si="27"/>
        <v>0</v>
      </c>
      <c r="X33" s="45">
        <f t="shared" si="27"/>
        <v>70</v>
      </c>
      <c r="Y33" s="45">
        <f t="shared" si="28"/>
        <v>0</v>
      </c>
      <c r="Z33" s="45">
        <f t="shared" si="28"/>
        <v>0</v>
      </c>
      <c r="AA33" s="45">
        <f t="shared" si="28"/>
        <v>0</v>
      </c>
      <c r="AB33" s="45">
        <f t="shared" si="28"/>
        <v>0</v>
      </c>
      <c r="AC33" s="45">
        <f t="shared" si="28"/>
        <v>0</v>
      </c>
      <c r="AD33" s="45">
        <f t="shared" si="28"/>
        <v>0</v>
      </c>
      <c r="AE33" s="45">
        <f t="shared" si="28"/>
        <v>0</v>
      </c>
      <c r="AF33" s="45">
        <f t="shared" si="28"/>
        <v>0</v>
      </c>
      <c r="AG33" s="45">
        <f t="shared" si="28"/>
        <v>0</v>
      </c>
      <c r="AH33" s="45">
        <f t="shared" si="28"/>
        <v>0</v>
      </c>
      <c r="AI33" s="45">
        <f t="shared" si="28"/>
        <v>0</v>
      </c>
      <c r="AJ33" s="45">
        <f t="shared" si="28"/>
        <v>0</v>
      </c>
      <c r="AK33" s="45">
        <f t="shared" si="28"/>
        <v>0</v>
      </c>
      <c r="AL33" s="45">
        <f t="shared" si="28"/>
        <v>0</v>
      </c>
      <c r="AM33" s="45">
        <f t="shared" si="28"/>
        <v>0</v>
      </c>
    </row>
    <row r="34" spans="1:39" x14ac:dyDescent="0.25">
      <c r="A34" s="329" t="s">
        <v>101</v>
      </c>
      <c r="B34" s="330" t="s">
        <v>96</v>
      </c>
      <c r="C34" s="331">
        <v>2</v>
      </c>
      <c r="D34" s="332" t="s">
        <v>113</v>
      </c>
      <c r="E34" s="333">
        <v>46080</v>
      </c>
      <c r="F34" s="334">
        <v>0.70833333333333337</v>
      </c>
      <c r="G34" s="335" t="s">
        <v>106</v>
      </c>
      <c r="H34" s="236"/>
      <c r="I34" s="336" t="s">
        <v>187</v>
      </c>
      <c r="J34" s="337" t="s">
        <v>189</v>
      </c>
      <c r="K34" s="3">
        <f t="shared" si="22"/>
        <v>6</v>
      </c>
      <c r="L34">
        <f t="shared" si="2"/>
        <v>1</v>
      </c>
      <c r="M34" s="45">
        <f t="shared" si="23"/>
        <v>80</v>
      </c>
      <c r="N34" s="48">
        <f t="shared" si="24"/>
        <v>10</v>
      </c>
      <c r="O34" s="45">
        <f t="shared" si="27"/>
        <v>0</v>
      </c>
      <c r="P34" s="45">
        <f t="shared" si="27"/>
        <v>0</v>
      </c>
      <c r="Q34" s="45">
        <f t="shared" si="27"/>
        <v>0</v>
      </c>
      <c r="R34" s="45">
        <f t="shared" si="27"/>
        <v>0</v>
      </c>
      <c r="S34" s="45">
        <f t="shared" si="27"/>
        <v>0</v>
      </c>
      <c r="T34" s="45">
        <f t="shared" si="27"/>
        <v>0</v>
      </c>
      <c r="U34" s="45">
        <f t="shared" si="27"/>
        <v>0</v>
      </c>
      <c r="V34" s="45">
        <f t="shared" si="27"/>
        <v>0</v>
      </c>
      <c r="W34" s="45">
        <f t="shared" si="27"/>
        <v>0</v>
      </c>
      <c r="X34" s="45">
        <f t="shared" si="27"/>
        <v>0</v>
      </c>
      <c r="Y34" s="45">
        <f t="shared" si="28"/>
        <v>0</v>
      </c>
      <c r="Z34" s="45">
        <f t="shared" si="28"/>
        <v>0</v>
      </c>
      <c r="AA34" s="45">
        <f t="shared" si="28"/>
        <v>0</v>
      </c>
      <c r="AB34" s="45">
        <f t="shared" si="28"/>
        <v>0</v>
      </c>
      <c r="AC34" s="45">
        <f t="shared" si="28"/>
        <v>0</v>
      </c>
      <c r="AD34" s="45">
        <f t="shared" si="28"/>
        <v>70</v>
      </c>
      <c r="AE34" s="45">
        <f t="shared" si="28"/>
        <v>0</v>
      </c>
      <c r="AF34" s="45">
        <f t="shared" si="28"/>
        <v>0</v>
      </c>
      <c r="AG34" s="45">
        <f t="shared" si="28"/>
        <v>0</v>
      </c>
      <c r="AH34" s="45">
        <f t="shared" si="28"/>
        <v>0</v>
      </c>
      <c r="AI34" s="45">
        <f t="shared" si="28"/>
        <v>0</v>
      </c>
      <c r="AJ34" s="45">
        <f t="shared" si="28"/>
        <v>0</v>
      </c>
      <c r="AK34" s="45">
        <f t="shared" si="28"/>
        <v>0</v>
      </c>
      <c r="AL34" s="45">
        <f t="shared" si="28"/>
        <v>0</v>
      </c>
      <c r="AM34" s="45">
        <f t="shared" si="28"/>
        <v>0</v>
      </c>
    </row>
    <row r="35" spans="1:39" x14ac:dyDescent="0.25">
      <c r="A35" s="268" t="s">
        <v>97</v>
      </c>
      <c r="B35" s="269" t="s">
        <v>96</v>
      </c>
      <c r="C35" s="270">
        <v>2</v>
      </c>
      <c r="D35" s="271" t="s">
        <v>113</v>
      </c>
      <c r="E35" s="272">
        <v>46081</v>
      </c>
      <c r="F35" s="273">
        <v>0.375</v>
      </c>
      <c r="G35" s="338" t="s">
        <v>20</v>
      </c>
      <c r="H35" s="339"/>
      <c r="I35" s="340" t="s">
        <v>186</v>
      </c>
      <c r="J35" s="276" t="s">
        <v>188</v>
      </c>
      <c r="K35" s="3">
        <f t="shared" si="22"/>
        <v>7</v>
      </c>
      <c r="L35">
        <f t="shared" si="2"/>
        <v>1</v>
      </c>
      <c r="M35" s="45">
        <f t="shared" si="23"/>
        <v>85</v>
      </c>
      <c r="N35" s="48">
        <f t="shared" si="24"/>
        <v>10</v>
      </c>
      <c r="O35" s="45">
        <f t="shared" si="27"/>
        <v>0</v>
      </c>
      <c r="P35" s="45">
        <f t="shared" si="27"/>
        <v>0</v>
      </c>
      <c r="Q35" s="45">
        <f t="shared" si="27"/>
        <v>0</v>
      </c>
      <c r="R35" s="45">
        <f t="shared" si="27"/>
        <v>0</v>
      </c>
      <c r="S35" s="45">
        <f t="shared" si="27"/>
        <v>75</v>
      </c>
      <c r="T35" s="45">
        <f t="shared" si="27"/>
        <v>0</v>
      </c>
      <c r="U35" s="45">
        <f t="shared" si="27"/>
        <v>0</v>
      </c>
      <c r="V35" s="45">
        <f t="shared" si="27"/>
        <v>0</v>
      </c>
      <c r="W35" s="45">
        <f t="shared" si="27"/>
        <v>0</v>
      </c>
      <c r="X35" s="45">
        <f t="shared" si="27"/>
        <v>0</v>
      </c>
      <c r="Y35" s="45">
        <f t="shared" si="28"/>
        <v>0</v>
      </c>
      <c r="Z35" s="45">
        <f t="shared" si="28"/>
        <v>0</v>
      </c>
      <c r="AA35" s="45">
        <f t="shared" si="28"/>
        <v>0</v>
      </c>
      <c r="AB35" s="45">
        <f t="shared" si="28"/>
        <v>0</v>
      </c>
      <c r="AC35" s="45">
        <f t="shared" si="28"/>
        <v>0</v>
      </c>
      <c r="AD35" s="45">
        <f t="shared" si="28"/>
        <v>0</v>
      </c>
      <c r="AE35" s="45">
        <f t="shared" si="28"/>
        <v>0</v>
      </c>
      <c r="AF35" s="45">
        <f t="shared" si="28"/>
        <v>0</v>
      </c>
      <c r="AG35" s="45">
        <f t="shared" si="28"/>
        <v>0</v>
      </c>
      <c r="AH35" s="45">
        <f t="shared" si="28"/>
        <v>0</v>
      </c>
      <c r="AI35" s="45">
        <f t="shared" si="28"/>
        <v>0</v>
      </c>
      <c r="AJ35" s="45">
        <f t="shared" si="28"/>
        <v>0</v>
      </c>
      <c r="AK35" s="45">
        <f t="shared" si="28"/>
        <v>0</v>
      </c>
      <c r="AL35" s="45">
        <f t="shared" si="28"/>
        <v>0</v>
      </c>
      <c r="AM35" s="45">
        <f t="shared" si="28"/>
        <v>0</v>
      </c>
    </row>
    <row r="36" spans="1:39" x14ac:dyDescent="0.25">
      <c r="A36" s="341" t="s">
        <v>89</v>
      </c>
      <c r="B36" s="342" t="s">
        <v>95</v>
      </c>
      <c r="C36" s="343">
        <v>2</v>
      </c>
      <c r="D36" s="344" t="s">
        <v>113</v>
      </c>
      <c r="E36" s="263">
        <v>46081</v>
      </c>
      <c r="F36" s="264">
        <v>0.47916666666666669</v>
      </c>
      <c r="G36" s="295" t="s">
        <v>104</v>
      </c>
      <c r="H36" s="295" t="s">
        <v>20</v>
      </c>
      <c r="I36" s="345" t="s">
        <v>186</v>
      </c>
      <c r="J36" s="346" t="s">
        <v>190</v>
      </c>
      <c r="K36" s="3">
        <f t="shared" si="22"/>
        <v>7</v>
      </c>
      <c r="L36" t="str">
        <f t="shared" si="2"/>
        <v/>
      </c>
      <c r="M36" s="45">
        <f t="shared" si="23"/>
        <v>165</v>
      </c>
      <c r="N36" s="48">
        <f t="shared" si="24"/>
        <v>20</v>
      </c>
      <c r="O36" s="45">
        <f t="shared" si="27"/>
        <v>0</v>
      </c>
      <c r="P36" s="45">
        <f t="shared" si="27"/>
        <v>0</v>
      </c>
      <c r="Q36" s="45">
        <f t="shared" si="27"/>
        <v>0</v>
      </c>
      <c r="R36" s="45">
        <f t="shared" si="27"/>
        <v>0</v>
      </c>
      <c r="S36" s="45">
        <f t="shared" si="27"/>
        <v>70</v>
      </c>
      <c r="T36" s="45">
        <f t="shared" si="27"/>
        <v>0</v>
      </c>
      <c r="U36" s="45">
        <f t="shared" si="27"/>
        <v>0</v>
      </c>
      <c r="V36" s="45">
        <f t="shared" si="27"/>
        <v>0</v>
      </c>
      <c r="W36" s="45">
        <f t="shared" si="27"/>
        <v>75</v>
      </c>
      <c r="X36" s="45">
        <f t="shared" si="27"/>
        <v>0</v>
      </c>
      <c r="Y36" s="45">
        <f t="shared" si="28"/>
        <v>0</v>
      </c>
      <c r="Z36" s="45">
        <f t="shared" si="28"/>
        <v>0</v>
      </c>
      <c r="AA36" s="45">
        <f t="shared" si="28"/>
        <v>0</v>
      </c>
      <c r="AB36" s="45">
        <f t="shared" si="28"/>
        <v>0</v>
      </c>
      <c r="AC36" s="45">
        <f t="shared" si="28"/>
        <v>0</v>
      </c>
      <c r="AD36" s="45">
        <f t="shared" si="28"/>
        <v>0</v>
      </c>
      <c r="AE36" s="45">
        <f t="shared" si="28"/>
        <v>0</v>
      </c>
      <c r="AF36" s="45">
        <f t="shared" si="28"/>
        <v>0</v>
      </c>
      <c r="AG36" s="45">
        <f t="shared" si="28"/>
        <v>0</v>
      </c>
      <c r="AH36" s="45">
        <f t="shared" si="28"/>
        <v>0</v>
      </c>
      <c r="AI36" s="45">
        <f t="shared" si="28"/>
        <v>0</v>
      </c>
      <c r="AJ36" s="45">
        <f t="shared" si="28"/>
        <v>0</v>
      </c>
      <c r="AK36" s="45">
        <f t="shared" si="28"/>
        <v>0</v>
      </c>
      <c r="AL36" s="45">
        <f t="shared" si="28"/>
        <v>0</v>
      </c>
      <c r="AM36" s="45">
        <f t="shared" si="28"/>
        <v>0</v>
      </c>
    </row>
    <row r="37" spans="1:39" x14ac:dyDescent="0.25">
      <c r="A37" s="341" t="s">
        <v>93</v>
      </c>
      <c r="B37" s="342" t="s">
        <v>94</v>
      </c>
      <c r="C37" s="343">
        <v>2</v>
      </c>
      <c r="D37" s="344" t="s">
        <v>113</v>
      </c>
      <c r="E37" s="263">
        <v>46081</v>
      </c>
      <c r="F37" s="264">
        <v>0.58333333333333337</v>
      </c>
      <c r="G37" s="347" t="s">
        <v>104</v>
      </c>
      <c r="H37" s="295" t="s">
        <v>18</v>
      </c>
      <c r="I37" s="348" t="s">
        <v>186</v>
      </c>
      <c r="J37" s="349" t="s">
        <v>190</v>
      </c>
      <c r="K37" s="3">
        <f t="shared" si="22"/>
        <v>7</v>
      </c>
      <c r="L37" t="str">
        <f t="shared" si="2"/>
        <v/>
      </c>
      <c r="M37" s="45">
        <f t="shared" si="23"/>
        <v>165</v>
      </c>
      <c r="N37" s="48">
        <f t="shared" si="24"/>
        <v>20</v>
      </c>
      <c r="O37" s="45">
        <f t="shared" si="27"/>
        <v>0</v>
      </c>
      <c r="P37" s="45">
        <f t="shared" si="27"/>
        <v>70</v>
      </c>
      <c r="Q37" s="45">
        <f t="shared" si="27"/>
        <v>0</v>
      </c>
      <c r="R37" s="45">
        <f t="shared" si="27"/>
        <v>0</v>
      </c>
      <c r="S37" s="45">
        <f t="shared" si="27"/>
        <v>0</v>
      </c>
      <c r="T37" s="45">
        <f t="shared" si="27"/>
        <v>0</v>
      </c>
      <c r="U37" s="45">
        <f t="shared" si="27"/>
        <v>0</v>
      </c>
      <c r="V37" s="45">
        <f t="shared" si="27"/>
        <v>0</v>
      </c>
      <c r="W37" s="45">
        <f t="shared" si="27"/>
        <v>75</v>
      </c>
      <c r="X37" s="45">
        <f t="shared" si="27"/>
        <v>0</v>
      </c>
      <c r="Y37" s="45">
        <f t="shared" si="28"/>
        <v>0</v>
      </c>
      <c r="Z37" s="45">
        <f t="shared" si="28"/>
        <v>0</v>
      </c>
      <c r="AA37" s="45">
        <f t="shared" si="28"/>
        <v>0</v>
      </c>
      <c r="AB37" s="45">
        <f t="shared" si="28"/>
        <v>0</v>
      </c>
      <c r="AC37" s="45">
        <f t="shared" si="28"/>
        <v>0</v>
      </c>
      <c r="AD37" s="45">
        <f t="shared" si="28"/>
        <v>0</v>
      </c>
      <c r="AE37" s="45">
        <f t="shared" si="28"/>
        <v>0</v>
      </c>
      <c r="AF37" s="45">
        <f t="shared" si="28"/>
        <v>0</v>
      </c>
      <c r="AG37" s="45">
        <f t="shared" si="28"/>
        <v>0</v>
      </c>
      <c r="AH37" s="45">
        <f t="shared" si="28"/>
        <v>0</v>
      </c>
      <c r="AI37" s="45">
        <f t="shared" si="28"/>
        <v>0</v>
      </c>
      <c r="AJ37" s="45">
        <f t="shared" si="28"/>
        <v>0</v>
      </c>
      <c r="AK37" s="45">
        <f t="shared" si="28"/>
        <v>0</v>
      </c>
      <c r="AL37" s="45">
        <f t="shared" si="28"/>
        <v>0</v>
      </c>
      <c r="AM37" s="45">
        <f t="shared" si="28"/>
        <v>0</v>
      </c>
    </row>
    <row r="38" spans="1:39" x14ac:dyDescent="0.25">
      <c r="A38" s="341" t="s">
        <v>98</v>
      </c>
      <c r="B38" s="342" t="s">
        <v>90</v>
      </c>
      <c r="C38" s="343">
        <v>2</v>
      </c>
      <c r="D38" s="344" t="s">
        <v>113</v>
      </c>
      <c r="E38" s="263">
        <v>46081</v>
      </c>
      <c r="F38" s="264">
        <v>0.6875</v>
      </c>
      <c r="G38" s="347" t="s">
        <v>18</v>
      </c>
      <c r="H38" s="295" t="s">
        <v>73</v>
      </c>
      <c r="I38" s="350" t="s">
        <v>186</v>
      </c>
      <c r="J38" s="346" t="s">
        <v>190</v>
      </c>
      <c r="K38" s="3">
        <f t="shared" si="22"/>
        <v>7</v>
      </c>
      <c r="L38" t="str">
        <f t="shared" si="2"/>
        <v/>
      </c>
      <c r="M38" s="45">
        <f t="shared" si="23"/>
        <v>165</v>
      </c>
      <c r="N38" s="48">
        <f t="shared" si="24"/>
        <v>20</v>
      </c>
      <c r="O38" s="45">
        <f t="shared" si="27"/>
        <v>0</v>
      </c>
      <c r="P38" s="45">
        <f t="shared" si="27"/>
        <v>75</v>
      </c>
      <c r="Q38" s="45">
        <f t="shared" si="27"/>
        <v>0</v>
      </c>
      <c r="R38" s="45">
        <f t="shared" si="27"/>
        <v>0</v>
      </c>
      <c r="S38" s="45">
        <f t="shared" si="27"/>
        <v>0</v>
      </c>
      <c r="T38" s="45">
        <f t="shared" si="27"/>
        <v>0</v>
      </c>
      <c r="U38" s="45">
        <f t="shared" si="27"/>
        <v>70</v>
      </c>
      <c r="V38" s="45">
        <f t="shared" si="27"/>
        <v>0</v>
      </c>
      <c r="W38" s="45">
        <f t="shared" si="27"/>
        <v>0</v>
      </c>
      <c r="X38" s="45">
        <f t="shared" si="27"/>
        <v>0</v>
      </c>
      <c r="Y38" s="45">
        <f t="shared" si="28"/>
        <v>0</v>
      </c>
      <c r="Z38" s="45">
        <f t="shared" si="28"/>
        <v>0</v>
      </c>
      <c r="AA38" s="45">
        <f t="shared" si="28"/>
        <v>0</v>
      </c>
      <c r="AB38" s="45">
        <f t="shared" si="28"/>
        <v>0</v>
      </c>
      <c r="AC38" s="45">
        <f t="shared" si="28"/>
        <v>0</v>
      </c>
      <c r="AD38" s="45">
        <f t="shared" si="28"/>
        <v>0</v>
      </c>
      <c r="AE38" s="45">
        <f t="shared" si="28"/>
        <v>0</v>
      </c>
      <c r="AF38" s="45">
        <f t="shared" si="28"/>
        <v>0</v>
      </c>
      <c r="AG38" s="45">
        <f t="shared" si="28"/>
        <v>0</v>
      </c>
      <c r="AH38" s="45">
        <f t="shared" si="28"/>
        <v>0</v>
      </c>
      <c r="AI38" s="45">
        <f t="shared" si="28"/>
        <v>0</v>
      </c>
      <c r="AJ38" s="45">
        <f t="shared" si="28"/>
        <v>0</v>
      </c>
      <c r="AK38" s="45">
        <f t="shared" si="28"/>
        <v>0</v>
      </c>
      <c r="AL38" s="45">
        <f t="shared" si="28"/>
        <v>0</v>
      </c>
      <c r="AM38" s="45">
        <f t="shared" si="28"/>
        <v>0</v>
      </c>
    </row>
    <row r="39" spans="1:39" x14ac:dyDescent="0.25">
      <c r="A39" s="268" t="s">
        <v>92</v>
      </c>
      <c r="B39" s="269" t="s">
        <v>99</v>
      </c>
      <c r="C39" s="270">
        <v>2</v>
      </c>
      <c r="D39" s="271" t="s">
        <v>113</v>
      </c>
      <c r="E39" s="272">
        <v>46081</v>
      </c>
      <c r="F39" s="273">
        <v>0.375</v>
      </c>
      <c r="G39" s="274" t="s">
        <v>22</v>
      </c>
      <c r="H39" s="339"/>
      <c r="I39" s="275" t="s">
        <v>187</v>
      </c>
      <c r="J39" s="276" t="s">
        <v>188</v>
      </c>
      <c r="K39" s="3">
        <f>WEEKDAY(E39)</f>
        <v>7</v>
      </c>
      <c r="L39">
        <f>IF(G39=L$1,1,IF(H39=L$1,1,""))</f>
        <v>1</v>
      </c>
      <c r="M39" s="45">
        <f t="shared" si="23"/>
        <v>85</v>
      </c>
      <c r="N39" s="48">
        <f>IF(H39&lt;&gt;"",20,10)</f>
        <v>10</v>
      </c>
      <c r="O39" s="45">
        <f t="shared" si="27"/>
        <v>0</v>
      </c>
      <c r="P39" s="45">
        <f t="shared" si="27"/>
        <v>0</v>
      </c>
      <c r="Q39" s="45">
        <f t="shared" si="27"/>
        <v>75</v>
      </c>
      <c r="R39" s="45">
        <f t="shared" si="27"/>
        <v>0</v>
      </c>
      <c r="S39" s="45">
        <f t="shared" si="27"/>
        <v>0</v>
      </c>
      <c r="T39" s="45">
        <f t="shared" si="27"/>
        <v>0</v>
      </c>
      <c r="U39" s="45">
        <f t="shared" si="27"/>
        <v>0</v>
      </c>
      <c r="V39" s="45">
        <f t="shared" si="27"/>
        <v>0</v>
      </c>
      <c r="W39" s="45">
        <f t="shared" si="27"/>
        <v>0</v>
      </c>
      <c r="X39" s="45">
        <f t="shared" si="27"/>
        <v>0</v>
      </c>
      <c r="Y39" s="45">
        <f t="shared" si="28"/>
        <v>0</v>
      </c>
      <c r="Z39" s="45">
        <f t="shared" si="28"/>
        <v>0</v>
      </c>
      <c r="AA39" s="45">
        <f t="shared" si="28"/>
        <v>0</v>
      </c>
      <c r="AB39" s="45">
        <f t="shared" si="28"/>
        <v>0</v>
      </c>
      <c r="AC39" s="45">
        <f t="shared" si="28"/>
        <v>0</v>
      </c>
      <c r="AD39" s="45">
        <f t="shared" si="28"/>
        <v>0</v>
      </c>
      <c r="AE39" s="45">
        <f t="shared" si="28"/>
        <v>0</v>
      </c>
      <c r="AF39" s="45">
        <f t="shared" si="28"/>
        <v>0</v>
      </c>
      <c r="AG39" s="45">
        <f t="shared" si="28"/>
        <v>0</v>
      </c>
      <c r="AH39" s="45">
        <f t="shared" si="28"/>
        <v>0</v>
      </c>
      <c r="AI39" s="45">
        <f t="shared" si="28"/>
        <v>0</v>
      </c>
      <c r="AJ39" s="45">
        <f t="shared" si="28"/>
        <v>0</v>
      </c>
      <c r="AK39" s="45">
        <f t="shared" si="28"/>
        <v>0</v>
      </c>
      <c r="AL39" s="45">
        <f t="shared" si="28"/>
        <v>0</v>
      </c>
      <c r="AM39" s="45">
        <f t="shared" si="28"/>
        <v>0</v>
      </c>
    </row>
    <row r="40" spans="1:39" x14ac:dyDescent="0.25">
      <c r="A40" s="268" t="s">
        <v>94</v>
      </c>
      <c r="B40" s="269" t="s">
        <v>96</v>
      </c>
      <c r="C40" s="270">
        <v>2</v>
      </c>
      <c r="D40" s="271" t="s">
        <v>113</v>
      </c>
      <c r="E40" s="272">
        <v>46081</v>
      </c>
      <c r="F40" s="273">
        <v>0.47916666666666669</v>
      </c>
      <c r="G40" s="274" t="s">
        <v>21</v>
      </c>
      <c r="H40" s="339"/>
      <c r="I40" s="275" t="s">
        <v>187</v>
      </c>
      <c r="J40" s="276" t="s">
        <v>188</v>
      </c>
      <c r="K40" s="3">
        <f>WEEKDAY(E40)</f>
        <v>7</v>
      </c>
      <c r="L40">
        <f>IF(G40=L$1,1,IF(H40=L$1,1,""))</f>
        <v>1</v>
      </c>
      <c r="M40" s="45">
        <f t="shared" si="23"/>
        <v>85</v>
      </c>
      <c r="N40" s="48">
        <f>IF(H40&lt;&gt;"",20,10)</f>
        <v>10</v>
      </c>
      <c r="O40" s="45">
        <f t="shared" si="27"/>
        <v>0</v>
      </c>
      <c r="P40" s="45">
        <f t="shared" si="27"/>
        <v>0</v>
      </c>
      <c r="Q40" s="45">
        <f t="shared" si="27"/>
        <v>0</v>
      </c>
      <c r="R40" s="45">
        <f t="shared" si="27"/>
        <v>0</v>
      </c>
      <c r="S40" s="45">
        <f t="shared" si="27"/>
        <v>0</v>
      </c>
      <c r="T40" s="45">
        <f t="shared" si="27"/>
        <v>0</v>
      </c>
      <c r="U40" s="45">
        <f t="shared" si="27"/>
        <v>0</v>
      </c>
      <c r="V40" s="45">
        <f t="shared" si="27"/>
        <v>75</v>
      </c>
      <c r="W40" s="45">
        <f t="shared" si="27"/>
        <v>0</v>
      </c>
      <c r="X40" s="45">
        <f t="shared" si="27"/>
        <v>0</v>
      </c>
      <c r="Y40" s="45">
        <f t="shared" si="28"/>
        <v>0</v>
      </c>
      <c r="Z40" s="45">
        <f t="shared" si="28"/>
        <v>0</v>
      </c>
      <c r="AA40" s="45">
        <f t="shared" si="28"/>
        <v>0</v>
      </c>
      <c r="AB40" s="45">
        <f t="shared" si="28"/>
        <v>0</v>
      </c>
      <c r="AC40" s="45">
        <f t="shared" si="28"/>
        <v>0</v>
      </c>
      <c r="AD40" s="45">
        <f t="shared" si="28"/>
        <v>0</v>
      </c>
      <c r="AE40" s="45">
        <f t="shared" si="28"/>
        <v>0</v>
      </c>
      <c r="AF40" s="45">
        <f t="shared" si="28"/>
        <v>0</v>
      </c>
      <c r="AG40" s="45">
        <f t="shared" si="28"/>
        <v>0</v>
      </c>
      <c r="AH40" s="45">
        <f t="shared" si="28"/>
        <v>0</v>
      </c>
      <c r="AI40" s="45">
        <f t="shared" si="28"/>
        <v>0</v>
      </c>
      <c r="AJ40" s="45">
        <f t="shared" si="28"/>
        <v>0</v>
      </c>
      <c r="AK40" s="45">
        <f t="shared" si="28"/>
        <v>0</v>
      </c>
      <c r="AL40" s="45">
        <f t="shared" si="28"/>
        <v>0</v>
      </c>
      <c r="AM40" s="45">
        <f t="shared" si="28"/>
        <v>0</v>
      </c>
    </row>
    <row r="41" spans="1:39" x14ac:dyDescent="0.25">
      <c r="A41" s="351" t="s">
        <v>92</v>
      </c>
      <c r="B41" s="352" t="s">
        <v>89</v>
      </c>
      <c r="C41" s="353">
        <v>2</v>
      </c>
      <c r="D41" s="354" t="s">
        <v>113</v>
      </c>
      <c r="E41" s="355">
        <v>46081</v>
      </c>
      <c r="F41" s="356">
        <v>0.58333333333333337</v>
      </c>
      <c r="G41" s="357" t="s">
        <v>106</v>
      </c>
      <c r="H41" s="358"/>
      <c r="I41" s="275" t="s">
        <v>187</v>
      </c>
      <c r="J41" s="276" t="s">
        <v>188</v>
      </c>
      <c r="K41" s="3">
        <f>WEEKDAY(E41)</f>
        <v>7</v>
      </c>
      <c r="L41">
        <f>IF(G41=L$1,1,IF(H41=L$1,1,""))</f>
        <v>1</v>
      </c>
      <c r="M41" s="45">
        <f t="shared" si="23"/>
        <v>85</v>
      </c>
      <c r="N41" s="48">
        <f>IF(H41&lt;&gt;"",20,10)</f>
        <v>10</v>
      </c>
      <c r="O41" s="45">
        <f t="shared" si="27"/>
        <v>0</v>
      </c>
      <c r="P41" s="45">
        <f t="shared" si="27"/>
        <v>0</v>
      </c>
      <c r="Q41" s="45">
        <f t="shared" si="27"/>
        <v>0</v>
      </c>
      <c r="R41" s="45">
        <f t="shared" si="27"/>
        <v>0</v>
      </c>
      <c r="S41" s="45">
        <f t="shared" si="27"/>
        <v>0</v>
      </c>
      <c r="T41" s="45">
        <f t="shared" si="27"/>
        <v>0</v>
      </c>
      <c r="U41" s="45">
        <f t="shared" si="27"/>
        <v>0</v>
      </c>
      <c r="V41" s="45">
        <f t="shared" si="27"/>
        <v>0</v>
      </c>
      <c r="W41" s="45">
        <f t="shared" si="27"/>
        <v>0</v>
      </c>
      <c r="X41" s="45">
        <f t="shared" si="27"/>
        <v>0</v>
      </c>
      <c r="Y41" s="45">
        <f t="shared" si="28"/>
        <v>0</v>
      </c>
      <c r="Z41" s="45">
        <f t="shared" si="28"/>
        <v>0</v>
      </c>
      <c r="AA41" s="45">
        <f t="shared" si="28"/>
        <v>0</v>
      </c>
      <c r="AB41" s="45">
        <f t="shared" si="28"/>
        <v>0</v>
      </c>
      <c r="AC41" s="45">
        <f t="shared" si="28"/>
        <v>0</v>
      </c>
      <c r="AD41" s="45">
        <f t="shared" si="28"/>
        <v>75</v>
      </c>
      <c r="AE41" s="45">
        <f t="shared" si="28"/>
        <v>0</v>
      </c>
      <c r="AF41" s="45">
        <f t="shared" si="28"/>
        <v>0</v>
      </c>
      <c r="AG41" s="45">
        <f t="shared" si="28"/>
        <v>0</v>
      </c>
      <c r="AH41" s="45">
        <f t="shared" si="28"/>
        <v>0</v>
      </c>
      <c r="AI41" s="45">
        <f t="shared" si="28"/>
        <v>0</v>
      </c>
      <c r="AJ41" s="45">
        <f t="shared" si="28"/>
        <v>0</v>
      </c>
      <c r="AK41" s="45">
        <f t="shared" si="28"/>
        <v>0</v>
      </c>
      <c r="AL41" s="45">
        <f t="shared" si="28"/>
        <v>0</v>
      </c>
      <c r="AM41" s="45">
        <f t="shared" si="28"/>
        <v>0</v>
      </c>
    </row>
    <row r="42" spans="1:39" x14ac:dyDescent="0.25">
      <c r="A42" s="268" t="s">
        <v>93</v>
      </c>
      <c r="B42" s="269" t="s">
        <v>97</v>
      </c>
      <c r="C42" s="270">
        <v>2</v>
      </c>
      <c r="D42" s="271" t="s">
        <v>113</v>
      </c>
      <c r="E42" s="272">
        <v>46081</v>
      </c>
      <c r="F42" s="273">
        <v>0.6875</v>
      </c>
      <c r="G42" s="274" t="s">
        <v>23</v>
      </c>
      <c r="H42" s="339"/>
      <c r="I42" s="275" t="s">
        <v>187</v>
      </c>
      <c r="J42" s="276" t="s">
        <v>188</v>
      </c>
      <c r="K42" s="3">
        <f>WEEKDAY(E42)</f>
        <v>7</v>
      </c>
      <c r="L42">
        <f>IF(G42=L$1,1,IF(H42=L$1,1,""))</f>
        <v>1</v>
      </c>
      <c r="M42" s="45">
        <f t="shared" si="23"/>
        <v>85</v>
      </c>
      <c r="N42" s="48">
        <f>IF(H42&lt;&gt;"",20,10)</f>
        <v>10</v>
      </c>
      <c r="O42" s="45">
        <f t="shared" si="27"/>
        <v>0</v>
      </c>
      <c r="P42" s="45">
        <f t="shared" si="27"/>
        <v>0</v>
      </c>
      <c r="Q42" s="45">
        <f t="shared" si="27"/>
        <v>0</v>
      </c>
      <c r="R42" s="45">
        <f t="shared" si="27"/>
        <v>0</v>
      </c>
      <c r="S42" s="45">
        <f t="shared" si="27"/>
        <v>0</v>
      </c>
      <c r="T42" s="45">
        <f t="shared" si="27"/>
        <v>0</v>
      </c>
      <c r="U42" s="45">
        <f t="shared" si="27"/>
        <v>0</v>
      </c>
      <c r="V42" s="45">
        <f t="shared" si="27"/>
        <v>0</v>
      </c>
      <c r="W42" s="45">
        <f t="shared" si="27"/>
        <v>0</v>
      </c>
      <c r="X42" s="45">
        <f t="shared" si="27"/>
        <v>0</v>
      </c>
      <c r="Y42" s="45">
        <f t="shared" si="28"/>
        <v>75</v>
      </c>
      <c r="Z42" s="45">
        <f t="shared" si="28"/>
        <v>0</v>
      </c>
      <c r="AA42" s="45">
        <f t="shared" si="28"/>
        <v>0</v>
      </c>
      <c r="AB42" s="45">
        <f t="shared" si="28"/>
        <v>0</v>
      </c>
      <c r="AC42" s="45">
        <f t="shared" si="28"/>
        <v>0</v>
      </c>
      <c r="AD42" s="45">
        <f t="shared" si="28"/>
        <v>0</v>
      </c>
      <c r="AE42" s="45">
        <f t="shared" si="28"/>
        <v>0</v>
      </c>
      <c r="AF42" s="45">
        <f t="shared" si="28"/>
        <v>0</v>
      </c>
      <c r="AG42" s="45">
        <f t="shared" si="28"/>
        <v>0</v>
      </c>
      <c r="AH42" s="45">
        <f t="shared" si="28"/>
        <v>0</v>
      </c>
      <c r="AI42" s="45">
        <f t="shared" si="28"/>
        <v>0</v>
      </c>
      <c r="AJ42" s="45">
        <f t="shared" si="28"/>
        <v>0</v>
      </c>
      <c r="AK42" s="45">
        <f t="shared" si="28"/>
        <v>0</v>
      </c>
      <c r="AL42" s="45">
        <f t="shared" si="28"/>
        <v>0</v>
      </c>
      <c r="AM42" s="45">
        <f t="shared" si="28"/>
        <v>0</v>
      </c>
    </row>
    <row r="43" spans="1:39" x14ac:dyDescent="0.25">
      <c r="A43" s="359" t="s">
        <v>194</v>
      </c>
      <c r="B43" s="360" t="s">
        <v>195</v>
      </c>
      <c r="C43" s="361">
        <v>2</v>
      </c>
      <c r="D43" s="362" t="s">
        <v>113</v>
      </c>
      <c r="E43" s="363">
        <v>46081</v>
      </c>
      <c r="F43" s="364">
        <v>0.47916666666666669</v>
      </c>
      <c r="G43" s="365" t="s">
        <v>22</v>
      </c>
      <c r="H43" s="339"/>
      <c r="I43" s="366" t="s">
        <v>196</v>
      </c>
      <c r="J43" s="367" t="s">
        <v>196</v>
      </c>
      <c r="K43" s="3"/>
      <c r="L43">
        <f>IF(G43=L$1,1,IF(H43=L$1,1,""))</f>
        <v>1</v>
      </c>
      <c r="M43" s="45"/>
      <c r="N43" s="48"/>
      <c r="O43" s="45">
        <f t="shared" ref="O43:P49" si="29">IF($G43=O$1,VLOOKUP($J43,$AP:$AQ,2,FALSE),IF($H43=O$1,70,0))</f>
        <v>0</v>
      </c>
      <c r="P43" s="45">
        <f t="shared" si="29"/>
        <v>0</v>
      </c>
      <c r="Q43" s="45"/>
      <c r="R43" s="45">
        <f t="shared" ref="R43:AA49" si="30">IF($G43=R$1,VLOOKUP($J43,$AP:$AQ,2,FALSE),IF($H43=R$1,70,0))</f>
        <v>0</v>
      </c>
      <c r="S43" s="45">
        <f t="shared" si="30"/>
        <v>0</v>
      </c>
      <c r="T43" s="45">
        <f t="shared" si="30"/>
        <v>0</v>
      </c>
      <c r="U43" s="45">
        <f t="shared" si="30"/>
        <v>0</v>
      </c>
      <c r="V43" s="45">
        <f t="shared" si="30"/>
        <v>0</v>
      </c>
      <c r="W43" s="45">
        <f t="shared" si="30"/>
        <v>0</v>
      </c>
      <c r="X43" s="45">
        <f t="shared" si="30"/>
        <v>0</v>
      </c>
      <c r="Y43" s="45">
        <f t="shared" si="30"/>
        <v>0</v>
      </c>
      <c r="Z43" s="45">
        <f t="shared" si="30"/>
        <v>0</v>
      </c>
      <c r="AA43" s="45">
        <f t="shared" si="30"/>
        <v>0</v>
      </c>
      <c r="AB43" s="45">
        <f t="shared" ref="AB43:AM49" si="31">IF($G43=AB$1,VLOOKUP($J43,$AP:$AQ,2,FALSE),IF($H43=AB$1,70,0))</f>
        <v>0</v>
      </c>
      <c r="AC43" s="45">
        <f t="shared" si="31"/>
        <v>0</v>
      </c>
      <c r="AD43" s="45">
        <f t="shared" si="31"/>
        <v>0</v>
      </c>
      <c r="AE43" s="45">
        <f t="shared" si="31"/>
        <v>0</v>
      </c>
      <c r="AF43" s="45">
        <f t="shared" si="31"/>
        <v>0</v>
      </c>
      <c r="AG43" s="45">
        <f t="shared" si="31"/>
        <v>0</v>
      </c>
      <c r="AH43" s="45">
        <f t="shared" si="31"/>
        <v>0</v>
      </c>
      <c r="AI43" s="45">
        <f t="shared" si="31"/>
        <v>0</v>
      </c>
      <c r="AJ43" s="45">
        <f t="shared" si="31"/>
        <v>0</v>
      </c>
      <c r="AK43" s="45">
        <f t="shared" si="31"/>
        <v>0</v>
      </c>
      <c r="AL43" s="45">
        <f t="shared" si="31"/>
        <v>0</v>
      </c>
      <c r="AM43" s="45">
        <f t="shared" si="31"/>
        <v>0</v>
      </c>
    </row>
    <row r="44" spans="1:39" x14ac:dyDescent="0.25">
      <c r="A44" s="277" t="s">
        <v>97</v>
      </c>
      <c r="B44" s="278" t="s">
        <v>95</v>
      </c>
      <c r="C44" s="279">
        <v>2</v>
      </c>
      <c r="D44" s="280" t="s">
        <v>113</v>
      </c>
      <c r="E44" s="281">
        <v>46082</v>
      </c>
      <c r="F44" s="282">
        <v>0.375</v>
      </c>
      <c r="G44" s="283" t="s">
        <v>23</v>
      </c>
      <c r="H44" s="236"/>
      <c r="I44" s="284" t="s">
        <v>186</v>
      </c>
      <c r="J44" s="285" t="s">
        <v>189</v>
      </c>
      <c r="K44" s="3">
        <f t="shared" si="22"/>
        <v>1</v>
      </c>
      <c r="L44">
        <f t="shared" si="2"/>
        <v>1</v>
      </c>
      <c r="M44" s="45">
        <f t="shared" ref="M44:M80" si="32">SUM(N44:AM44)</f>
        <v>80</v>
      </c>
      <c r="N44" s="48">
        <f t="shared" si="24"/>
        <v>10</v>
      </c>
      <c r="O44" s="45">
        <f t="shared" si="29"/>
        <v>0</v>
      </c>
      <c r="P44" s="45">
        <f t="shared" si="29"/>
        <v>0</v>
      </c>
      <c r="Q44" s="45">
        <f t="shared" ref="Q44:Q49" si="33">IF($G44=Q$1,VLOOKUP($J44,$AP:$AQ,2,FALSE),IF($H44=Q$1,70,0))</f>
        <v>0</v>
      </c>
      <c r="R44" s="45">
        <f t="shared" si="30"/>
        <v>0</v>
      </c>
      <c r="S44" s="45">
        <f t="shared" si="30"/>
        <v>0</v>
      </c>
      <c r="T44" s="45">
        <f t="shared" si="30"/>
        <v>0</v>
      </c>
      <c r="U44" s="45">
        <f t="shared" si="30"/>
        <v>0</v>
      </c>
      <c r="V44" s="45">
        <f t="shared" si="30"/>
        <v>0</v>
      </c>
      <c r="W44" s="45">
        <f t="shared" si="30"/>
        <v>0</v>
      </c>
      <c r="X44" s="45">
        <f t="shared" si="30"/>
        <v>0</v>
      </c>
      <c r="Y44" s="45">
        <f t="shared" si="30"/>
        <v>70</v>
      </c>
      <c r="Z44" s="45">
        <f t="shared" si="30"/>
        <v>0</v>
      </c>
      <c r="AA44" s="45">
        <f t="shared" si="30"/>
        <v>0</v>
      </c>
      <c r="AB44" s="45">
        <f t="shared" si="31"/>
        <v>0</v>
      </c>
      <c r="AC44" s="45">
        <f t="shared" si="31"/>
        <v>0</v>
      </c>
      <c r="AD44" s="45">
        <f t="shared" si="31"/>
        <v>0</v>
      </c>
      <c r="AE44" s="45">
        <f t="shared" si="31"/>
        <v>0</v>
      </c>
      <c r="AF44" s="45">
        <f t="shared" si="31"/>
        <v>0</v>
      </c>
      <c r="AG44" s="45">
        <f t="shared" si="31"/>
        <v>0</v>
      </c>
      <c r="AH44" s="45">
        <f t="shared" si="31"/>
        <v>0</v>
      </c>
      <c r="AI44" s="45">
        <f t="shared" si="31"/>
        <v>0</v>
      </c>
      <c r="AJ44" s="45">
        <f t="shared" si="31"/>
        <v>0</v>
      </c>
      <c r="AK44" s="45">
        <f t="shared" si="31"/>
        <v>0</v>
      </c>
      <c r="AL44" s="45">
        <f t="shared" si="31"/>
        <v>0</v>
      </c>
      <c r="AM44" s="45">
        <f t="shared" si="31"/>
        <v>0</v>
      </c>
    </row>
    <row r="45" spans="1:39" x14ac:dyDescent="0.25">
      <c r="A45" s="277" t="s">
        <v>94</v>
      </c>
      <c r="B45" s="278" t="s">
        <v>101</v>
      </c>
      <c r="C45" s="279">
        <v>2</v>
      </c>
      <c r="D45" s="280" t="s">
        <v>113</v>
      </c>
      <c r="E45" s="281">
        <v>46082</v>
      </c>
      <c r="F45" s="282">
        <v>0.47916666666666669</v>
      </c>
      <c r="G45" s="283" t="s">
        <v>23</v>
      </c>
      <c r="H45" s="236"/>
      <c r="I45" s="284" t="s">
        <v>186</v>
      </c>
      <c r="J45" s="285" t="s">
        <v>189</v>
      </c>
      <c r="K45" s="3">
        <f t="shared" si="22"/>
        <v>1</v>
      </c>
      <c r="L45">
        <f t="shared" si="2"/>
        <v>1</v>
      </c>
      <c r="M45" s="45">
        <f t="shared" si="32"/>
        <v>80</v>
      </c>
      <c r="N45" s="48">
        <f t="shared" si="24"/>
        <v>10</v>
      </c>
      <c r="O45" s="45">
        <f t="shared" si="29"/>
        <v>0</v>
      </c>
      <c r="P45" s="45">
        <f t="shared" si="29"/>
        <v>0</v>
      </c>
      <c r="Q45" s="45">
        <f t="shared" si="33"/>
        <v>0</v>
      </c>
      <c r="R45" s="45">
        <f t="shared" si="30"/>
        <v>0</v>
      </c>
      <c r="S45" s="45">
        <f t="shared" si="30"/>
        <v>0</v>
      </c>
      <c r="T45" s="45">
        <f t="shared" si="30"/>
        <v>0</v>
      </c>
      <c r="U45" s="45">
        <f t="shared" si="30"/>
        <v>0</v>
      </c>
      <c r="V45" s="45">
        <f t="shared" si="30"/>
        <v>0</v>
      </c>
      <c r="W45" s="45">
        <f t="shared" si="30"/>
        <v>0</v>
      </c>
      <c r="X45" s="45">
        <f t="shared" si="30"/>
        <v>0</v>
      </c>
      <c r="Y45" s="45">
        <f t="shared" si="30"/>
        <v>70</v>
      </c>
      <c r="Z45" s="45">
        <f t="shared" si="30"/>
        <v>0</v>
      </c>
      <c r="AA45" s="45">
        <f t="shared" si="30"/>
        <v>0</v>
      </c>
      <c r="AB45" s="45">
        <f t="shared" si="31"/>
        <v>0</v>
      </c>
      <c r="AC45" s="45">
        <f t="shared" si="31"/>
        <v>0</v>
      </c>
      <c r="AD45" s="45">
        <f t="shared" si="31"/>
        <v>0</v>
      </c>
      <c r="AE45" s="45">
        <f t="shared" si="31"/>
        <v>0</v>
      </c>
      <c r="AF45" s="45">
        <f t="shared" si="31"/>
        <v>0</v>
      </c>
      <c r="AG45" s="45">
        <f t="shared" si="31"/>
        <v>0</v>
      </c>
      <c r="AH45" s="45">
        <f t="shared" si="31"/>
        <v>0</v>
      </c>
      <c r="AI45" s="45">
        <f t="shared" si="31"/>
        <v>0</v>
      </c>
      <c r="AJ45" s="45">
        <f t="shared" si="31"/>
        <v>0</v>
      </c>
      <c r="AK45" s="45">
        <f t="shared" si="31"/>
        <v>0</v>
      </c>
      <c r="AL45" s="45">
        <f t="shared" si="31"/>
        <v>0</v>
      </c>
      <c r="AM45" s="45">
        <f t="shared" si="31"/>
        <v>0</v>
      </c>
    </row>
    <row r="46" spans="1:39" x14ac:dyDescent="0.25">
      <c r="A46" s="277" t="s">
        <v>96</v>
      </c>
      <c r="B46" s="278" t="s">
        <v>90</v>
      </c>
      <c r="C46" s="279">
        <v>2</v>
      </c>
      <c r="D46" s="280" t="s">
        <v>113</v>
      </c>
      <c r="E46" s="281">
        <v>46082</v>
      </c>
      <c r="F46" s="282">
        <v>0.58333333333333337</v>
      </c>
      <c r="G46" s="283" t="s">
        <v>75</v>
      </c>
      <c r="H46" s="236"/>
      <c r="I46" s="284" t="s">
        <v>186</v>
      </c>
      <c r="J46" s="285" t="s">
        <v>189</v>
      </c>
      <c r="K46" s="3">
        <f t="shared" si="22"/>
        <v>1</v>
      </c>
      <c r="L46">
        <f t="shared" si="2"/>
        <v>1</v>
      </c>
      <c r="M46" s="45">
        <f t="shared" si="32"/>
        <v>80</v>
      </c>
      <c r="N46" s="48">
        <f t="shared" si="24"/>
        <v>10</v>
      </c>
      <c r="O46" s="45">
        <f t="shared" si="29"/>
        <v>0</v>
      </c>
      <c r="P46" s="45">
        <f t="shared" si="29"/>
        <v>0</v>
      </c>
      <c r="Q46" s="45">
        <f t="shared" si="33"/>
        <v>0</v>
      </c>
      <c r="R46" s="45">
        <f t="shared" si="30"/>
        <v>0</v>
      </c>
      <c r="S46" s="45">
        <f t="shared" si="30"/>
        <v>0</v>
      </c>
      <c r="T46" s="45">
        <f t="shared" si="30"/>
        <v>0</v>
      </c>
      <c r="U46" s="45">
        <f t="shared" si="30"/>
        <v>0</v>
      </c>
      <c r="V46" s="45">
        <f t="shared" si="30"/>
        <v>0</v>
      </c>
      <c r="W46" s="45">
        <f t="shared" si="30"/>
        <v>0</v>
      </c>
      <c r="X46" s="45">
        <f t="shared" si="30"/>
        <v>0</v>
      </c>
      <c r="Y46" s="45">
        <f t="shared" si="30"/>
        <v>0</v>
      </c>
      <c r="Z46" s="45">
        <f t="shared" si="30"/>
        <v>0</v>
      </c>
      <c r="AA46" s="45">
        <f t="shared" si="30"/>
        <v>0</v>
      </c>
      <c r="AB46" s="45">
        <f t="shared" si="31"/>
        <v>0</v>
      </c>
      <c r="AC46" s="45">
        <f t="shared" si="31"/>
        <v>70</v>
      </c>
      <c r="AD46" s="45">
        <f t="shared" si="31"/>
        <v>0</v>
      </c>
      <c r="AE46" s="45">
        <f t="shared" si="31"/>
        <v>0</v>
      </c>
      <c r="AF46" s="45">
        <f t="shared" si="31"/>
        <v>0</v>
      </c>
      <c r="AG46" s="45">
        <f t="shared" si="31"/>
        <v>0</v>
      </c>
      <c r="AH46" s="45">
        <f t="shared" si="31"/>
        <v>0</v>
      </c>
      <c r="AI46" s="45">
        <f t="shared" si="31"/>
        <v>0</v>
      </c>
      <c r="AJ46" s="45">
        <f t="shared" si="31"/>
        <v>0</v>
      </c>
      <c r="AK46" s="45">
        <f t="shared" si="31"/>
        <v>0</v>
      </c>
      <c r="AL46" s="45">
        <f t="shared" si="31"/>
        <v>0</v>
      </c>
      <c r="AM46" s="45">
        <f t="shared" si="31"/>
        <v>0</v>
      </c>
    </row>
    <row r="47" spans="1:39" x14ac:dyDescent="0.25">
      <c r="A47" s="277" t="s">
        <v>89</v>
      </c>
      <c r="B47" s="278" t="s">
        <v>99</v>
      </c>
      <c r="C47" s="279">
        <v>2</v>
      </c>
      <c r="D47" s="280" t="s">
        <v>113</v>
      </c>
      <c r="E47" s="281">
        <v>46082</v>
      </c>
      <c r="F47" s="282">
        <v>0.375</v>
      </c>
      <c r="G47" s="283" t="s">
        <v>102</v>
      </c>
      <c r="H47" s="236"/>
      <c r="I47" s="284" t="s">
        <v>187</v>
      </c>
      <c r="J47" s="285" t="s">
        <v>189</v>
      </c>
      <c r="K47" s="3">
        <f t="shared" si="22"/>
        <v>1</v>
      </c>
      <c r="L47">
        <f t="shared" si="2"/>
        <v>1</v>
      </c>
      <c r="M47" s="45">
        <f t="shared" si="32"/>
        <v>80</v>
      </c>
      <c r="N47" s="48">
        <f t="shared" si="24"/>
        <v>10</v>
      </c>
      <c r="O47" s="45">
        <f t="shared" si="29"/>
        <v>0</v>
      </c>
      <c r="P47" s="45">
        <f t="shared" si="29"/>
        <v>0</v>
      </c>
      <c r="Q47" s="45">
        <f t="shared" si="33"/>
        <v>0</v>
      </c>
      <c r="R47" s="45">
        <f t="shared" si="30"/>
        <v>0</v>
      </c>
      <c r="S47" s="45">
        <f t="shared" si="30"/>
        <v>0</v>
      </c>
      <c r="T47" s="45">
        <f t="shared" si="30"/>
        <v>0</v>
      </c>
      <c r="U47" s="45">
        <f t="shared" si="30"/>
        <v>0</v>
      </c>
      <c r="V47" s="45">
        <f t="shared" si="30"/>
        <v>0</v>
      </c>
      <c r="W47" s="45">
        <f t="shared" si="30"/>
        <v>0</v>
      </c>
      <c r="X47" s="45">
        <f t="shared" si="30"/>
        <v>70</v>
      </c>
      <c r="Y47" s="45">
        <f t="shared" si="30"/>
        <v>0</v>
      </c>
      <c r="Z47" s="45">
        <f t="shared" si="30"/>
        <v>0</v>
      </c>
      <c r="AA47" s="45">
        <f t="shared" si="30"/>
        <v>0</v>
      </c>
      <c r="AB47" s="45">
        <f t="shared" si="31"/>
        <v>0</v>
      </c>
      <c r="AC47" s="45">
        <f t="shared" si="31"/>
        <v>0</v>
      </c>
      <c r="AD47" s="45">
        <f t="shared" si="31"/>
        <v>0</v>
      </c>
      <c r="AE47" s="45">
        <f t="shared" si="31"/>
        <v>0</v>
      </c>
      <c r="AF47" s="45">
        <f t="shared" si="31"/>
        <v>0</v>
      </c>
      <c r="AG47" s="45">
        <f t="shared" si="31"/>
        <v>0</v>
      </c>
      <c r="AH47" s="45">
        <f t="shared" si="31"/>
        <v>0</v>
      </c>
      <c r="AI47" s="45">
        <f t="shared" si="31"/>
        <v>0</v>
      </c>
      <c r="AJ47" s="45">
        <f t="shared" si="31"/>
        <v>0</v>
      </c>
      <c r="AK47" s="45">
        <f t="shared" si="31"/>
        <v>0</v>
      </c>
      <c r="AL47" s="45">
        <f t="shared" si="31"/>
        <v>0</v>
      </c>
      <c r="AM47" s="45">
        <f t="shared" si="31"/>
        <v>0</v>
      </c>
    </row>
    <row r="48" spans="1:39" x14ac:dyDescent="0.25">
      <c r="A48" s="277" t="s">
        <v>100</v>
      </c>
      <c r="B48" s="278" t="s">
        <v>92</v>
      </c>
      <c r="C48" s="279">
        <v>2</v>
      </c>
      <c r="D48" s="280" t="s">
        <v>113</v>
      </c>
      <c r="E48" s="281">
        <v>46082</v>
      </c>
      <c r="F48" s="282">
        <v>0.47916666666666669</v>
      </c>
      <c r="G48" s="283" t="s">
        <v>108</v>
      </c>
      <c r="H48" s="236"/>
      <c r="I48" s="284" t="s">
        <v>187</v>
      </c>
      <c r="J48" s="285" t="s">
        <v>189</v>
      </c>
      <c r="K48" s="3">
        <f t="shared" si="22"/>
        <v>1</v>
      </c>
      <c r="L48">
        <f t="shared" si="2"/>
        <v>1</v>
      </c>
      <c r="M48" s="45">
        <f t="shared" si="32"/>
        <v>80</v>
      </c>
      <c r="N48" s="48">
        <f t="shared" si="24"/>
        <v>10</v>
      </c>
      <c r="O48" s="45">
        <f t="shared" si="29"/>
        <v>0</v>
      </c>
      <c r="P48" s="45">
        <f t="shared" si="29"/>
        <v>0</v>
      </c>
      <c r="Q48" s="45">
        <f t="shared" si="33"/>
        <v>0</v>
      </c>
      <c r="R48" s="45">
        <f t="shared" si="30"/>
        <v>0</v>
      </c>
      <c r="S48" s="45">
        <f t="shared" si="30"/>
        <v>0</v>
      </c>
      <c r="T48" s="45">
        <f t="shared" si="30"/>
        <v>0</v>
      </c>
      <c r="U48" s="45">
        <f t="shared" si="30"/>
        <v>0</v>
      </c>
      <c r="V48" s="45">
        <f t="shared" si="30"/>
        <v>0</v>
      </c>
      <c r="W48" s="45">
        <f t="shared" si="30"/>
        <v>0</v>
      </c>
      <c r="X48" s="45">
        <f t="shared" si="30"/>
        <v>0</v>
      </c>
      <c r="Y48" s="45">
        <f t="shared" si="30"/>
        <v>0</v>
      </c>
      <c r="Z48" s="45">
        <f t="shared" si="30"/>
        <v>0</v>
      </c>
      <c r="AA48" s="45">
        <f t="shared" si="30"/>
        <v>0</v>
      </c>
      <c r="AB48" s="45">
        <f t="shared" si="31"/>
        <v>0</v>
      </c>
      <c r="AC48" s="45">
        <f t="shared" si="31"/>
        <v>0</v>
      </c>
      <c r="AD48" s="45">
        <f t="shared" si="31"/>
        <v>0</v>
      </c>
      <c r="AE48" s="45">
        <f t="shared" si="31"/>
        <v>0</v>
      </c>
      <c r="AF48" s="45">
        <f t="shared" si="31"/>
        <v>70</v>
      </c>
      <c r="AG48" s="45">
        <f t="shared" si="31"/>
        <v>0</v>
      </c>
      <c r="AH48" s="45">
        <f t="shared" si="31"/>
        <v>0</v>
      </c>
      <c r="AI48" s="45">
        <f t="shared" si="31"/>
        <v>0</v>
      </c>
      <c r="AJ48" s="45">
        <f t="shared" si="31"/>
        <v>0</v>
      </c>
      <c r="AK48" s="45">
        <f t="shared" si="31"/>
        <v>0</v>
      </c>
      <c r="AL48" s="45">
        <f t="shared" si="31"/>
        <v>0</v>
      </c>
      <c r="AM48" s="45">
        <f t="shared" si="31"/>
        <v>0</v>
      </c>
    </row>
    <row r="49" spans="1:41" ht="15.75" thickBot="1" x14ac:dyDescent="0.3">
      <c r="A49" s="277" t="s">
        <v>93</v>
      </c>
      <c r="B49" s="278" t="s">
        <v>98</v>
      </c>
      <c r="C49" s="279">
        <v>2</v>
      </c>
      <c r="D49" s="280" t="s">
        <v>113</v>
      </c>
      <c r="E49" s="281">
        <v>46082</v>
      </c>
      <c r="F49" s="282">
        <v>0.58333333333333337</v>
      </c>
      <c r="G49" s="283" t="s">
        <v>106</v>
      </c>
      <c r="H49" s="236"/>
      <c r="I49" s="284" t="s">
        <v>187</v>
      </c>
      <c r="J49" s="285" t="s">
        <v>189</v>
      </c>
      <c r="K49" s="3">
        <f t="shared" si="22"/>
        <v>1</v>
      </c>
      <c r="L49">
        <f t="shared" si="2"/>
        <v>1</v>
      </c>
      <c r="M49" s="45">
        <f t="shared" si="32"/>
        <v>80</v>
      </c>
      <c r="N49" s="48">
        <f t="shared" si="24"/>
        <v>10</v>
      </c>
      <c r="O49" s="45">
        <f t="shared" si="29"/>
        <v>0</v>
      </c>
      <c r="P49" s="45">
        <f t="shared" si="29"/>
        <v>0</v>
      </c>
      <c r="Q49" s="45">
        <f t="shared" si="33"/>
        <v>0</v>
      </c>
      <c r="R49" s="45">
        <f t="shared" si="30"/>
        <v>0</v>
      </c>
      <c r="S49" s="45">
        <f t="shared" si="30"/>
        <v>0</v>
      </c>
      <c r="T49" s="45">
        <f t="shared" si="30"/>
        <v>0</v>
      </c>
      <c r="U49" s="45">
        <f t="shared" si="30"/>
        <v>0</v>
      </c>
      <c r="V49" s="45">
        <f t="shared" si="30"/>
        <v>0</v>
      </c>
      <c r="W49" s="45">
        <f t="shared" si="30"/>
        <v>0</v>
      </c>
      <c r="X49" s="45">
        <f t="shared" si="30"/>
        <v>0</v>
      </c>
      <c r="Y49" s="45">
        <f t="shared" si="30"/>
        <v>0</v>
      </c>
      <c r="Z49" s="45">
        <f t="shared" si="30"/>
        <v>0</v>
      </c>
      <c r="AA49" s="45">
        <f t="shared" si="30"/>
        <v>0</v>
      </c>
      <c r="AB49" s="45">
        <f t="shared" si="31"/>
        <v>0</v>
      </c>
      <c r="AC49" s="45">
        <f t="shared" si="31"/>
        <v>0</v>
      </c>
      <c r="AD49" s="45">
        <f t="shared" si="31"/>
        <v>70</v>
      </c>
      <c r="AE49" s="45">
        <f t="shared" si="31"/>
        <v>0</v>
      </c>
      <c r="AF49" s="45">
        <f t="shared" si="31"/>
        <v>0</v>
      </c>
      <c r="AG49" s="45">
        <f t="shared" si="31"/>
        <v>0</v>
      </c>
      <c r="AH49" s="45">
        <f t="shared" si="31"/>
        <v>0</v>
      </c>
      <c r="AI49" s="45">
        <f t="shared" si="31"/>
        <v>0</v>
      </c>
      <c r="AJ49" s="45">
        <f t="shared" si="31"/>
        <v>0</v>
      </c>
      <c r="AK49" s="45">
        <f t="shared" si="31"/>
        <v>0</v>
      </c>
      <c r="AL49" s="45">
        <f t="shared" si="31"/>
        <v>0</v>
      </c>
      <c r="AM49" s="45">
        <f t="shared" si="31"/>
        <v>0</v>
      </c>
    </row>
    <row r="50" spans="1:41" ht="13.5" customHeight="1" thickBot="1" x14ac:dyDescent="0.3">
      <c r="A50" s="98"/>
      <c r="B50" s="99"/>
      <c r="C50" s="100"/>
      <c r="D50" s="101"/>
      <c r="E50" s="102"/>
      <c r="F50" s="197"/>
      <c r="G50" s="212"/>
      <c r="H50" s="204"/>
      <c r="I50" s="187"/>
      <c r="J50" s="51" t="str">
        <f>"Totals for " &amp; D49 &amp;"…"</f>
        <v>Totals for Feb 23-Mar 1…</v>
      </c>
      <c r="K50" s="3">
        <v>9</v>
      </c>
      <c r="L50">
        <f t="shared" si="2"/>
        <v>1</v>
      </c>
      <c r="M50" s="52">
        <f t="shared" si="32"/>
        <v>2800</v>
      </c>
      <c r="N50" s="49">
        <f t="shared" ref="N50:AM50" si="34">SUM(N21:N49)</f>
        <v>340</v>
      </c>
      <c r="O50" s="116">
        <f t="shared" si="34"/>
        <v>150</v>
      </c>
      <c r="P50" s="116">
        <f t="shared" si="34"/>
        <v>145</v>
      </c>
      <c r="Q50" s="116">
        <f t="shared" si="34"/>
        <v>75</v>
      </c>
      <c r="R50" s="116">
        <f t="shared" si="34"/>
        <v>150</v>
      </c>
      <c r="S50" s="116">
        <f t="shared" si="34"/>
        <v>425</v>
      </c>
      <c r="T50" s="116">
        <f t="shared" si="34"/>
        <v>0</v>
      </c>
      <c r="U50" s="116">
        <f t="shared" si="34"/>
        <v>140</v>
      </c>
      <c r="V50" s="124">
        <f t="shared" si="34"/>
        <v>300</v>
      </c>
      <c r="W50" s="116">
        <f t="shared" si="34"/>
        <v>150</v>
      </c>
      <c r="X50" s="117">
        <f t="shared" si="34"/>
        <v>140</v>
      </c>
      <c r="Y50" s="117">
        <f t="shared" si="34"/>
        <v>215</v>
      </c>
      <c r="Z50" s="117">
        <f t="shared" si="34"/>
        <v>70</v>
      </c>
      <c r="AA50" s="117">
        <f t="shared" si="34"/>
        <v>75</v>
      </c>
      <c r="AB50" s="118">
        <f t="shared" si="34"/>
        <v>0</v>
      </c>
      <c r="AC50" s="118">
        <f t="shared" si="34"/>
        <v>70</v>
      </c>
      <c r="AD50" s="118">
        <f t="shared" si="34"/>
        <v>215</v>
      </c>
      <c r="AE50" s="118">
        <f t="shared" si="34"/>
        <v>70</v>
      </c>
      <c r="AF50" s="118">
        <f t="shared" si="34"/>
        <v>70</v>
      </c>
      <c r="AG50" s="119">
        <f t="shared" si="34"/>
        <v>0</v>
      </c>
      <c r="AH50" s="119">
        <f t="shared" si="34"/>
        <v>0</v>
      </c>
      <c r="AI50" s="119">
        <f t="shared" si="34"/>
        <v>0</v>
      </c>
      <c r="AJ50" s="119">
        <f t="shared" si="34"/>
        <v>0</v>
      </c>
      <c r="AK50" s="120">
        <f t="shared" si="34"/>
        <v>0</v>
      </c>
      <c r="AL50" s="120">
        <f t="shared" si="34"/>
        <v>0</v>
      </c>
      <c r="AM50" s="120">
        <f t="shared" si="34"/>
        <v>0</v>
      </c>
      <c r="AN50" s="96">
        <f>SUM(N50:AM50)</f>
        <v>2800</v>
      </c>
      <c r="AO50" s="97"/>
    </row>
    <row r="51" spans="1:41" x14ac:dyDescent="0.25">
      <c r="A51" s="25" t="s">
        <v>90</v>
      </c>
      <c r="B51" s="26" t="s">
        <v>97</v>
      </c>
      <c r="C51" s="34">
        <v>3</v>
      </c>
      <c r="D51" s="27" t="s">
        <v>115</v>
      </c>
      <c r="E51" s="38">
        <v>46083</v>
      </c>
      <c r="F51" s="191">
        <v>0.70833333333333337</v>
      </c>
      <c r="G51" s="205" t="s">
        <v>104</v>
      </c>
      <c r="H51" s="206"/>
      <c r="I51" s="163" t="s">
        <v>186</v>
      </c>
      <c r="J51" s="164" t="s">
        <v>188</v>
      </c>
      <c r="K51" s="3">
        <f t="shared" ref="K51:K69" si="35">WEEKDAY(E51)</f>
        <v>2</v>
      </c>
      <c r="L51">
        <f t="shared" ref="L51:L69" si="36">IF(G51=L$1,1,IF(H51=L$1,1,""))</f>
        <v>1</v>
      </c>
      <c r="M51" s="45">
        <f t="shared" si="32"/>
        <v>85</v>
      </c>
      <c r="N51" s="48">
        <f t="shared" ref="N51:N69" si="37">IF(H51&lt;&gt;"",20,10)</f>
        <v>10</v>
      </c>
      <c r="O51" s="45">
        <f t="shared" ref="O51:X60" si="38">IF($G51=O$1,VLOOKUP($J51,$AP:$AQ,2,FALSE),IF($H51=O$1,70,0))</f>
        <v>0</v>
      </c>
      <c r="P51" s="45">
        <f t="shared" si="38"/>
        <v>0</v>
      </c>
      <c r="Q51" s="45">
        <f t="shared" si="38"/>
        <v>0</v>
      </c>
      <c r="R51" s="45">
        <f t="shared" si="38"/>
        <v>0</v>
      </c>
      <c r="S51" s="45">
        <f t="shared" si="38"/>
        <v>0</v>
      </c>
      <c r="T51" s="45">
        <f t="shared" si="38"/>
        <v>0</v>
      </c>
      <c r="U51" s="45">
        <f t="shared" si="38"/>
        <v>0</v>
      </c>
      <c r="V51" s="45">
        <f t="shared" si="38"/>
        <v>0</v>
      </c>
      <c r="W51" s="45">
        <f t="shared" si="38"/>
        <v>75</v>
      </c>
      <c r="X51" s="45">
        <f t="shared" si="38"/>
        <v>0</v>
      </c>
      <c r="Y51" s="45">
        <f t="shared" ref="Y51:AM60" si="39">IF($G51=Y$1,VLOOKUP($J51,$AP:$AQ,2,FALSE),IF($H51=Y$1,70,0))</f>
        <v>0</v>
      </c>
      <c r="Z51" s="45">
        <f t="shared" si="39"/>
        <v>0</v>
      </c>
      <c r="AA51" s="45">
        <f t="shared" si="39"/>
        <v>0</v>
      </c>
      <c r="AB51" s="45">
        <f t="shared" si="39"/>
        <v>0</v>
      </c>
      <c r="AC51" s="45">
        <f t="shared" si="39"/>
        <v>0</v>
      </c>
      <c r="AD51" s="45">
        <f t="shared" si="39"/>
        <v>0</v>
      </c>
      <c r="AE51" s="45">
        <f t="shared" si="39"/>
        <v>0</v>
      </c>
      <c r="AF51" s="45">
        <f t="shared" si="39"/>
        <v>0</v>
      </c>
      <c r="AG51" s="45">
        <f t="shared" si="39"/>
        <v>0</v>
      </c>
      <c r="AH51" s="45">
        <f t="shared" si="39"/>
        <v>0</v>
      </c>
      <c r="AI51" s="45">
        <f t="shared" si="39"/>
        <v>0</v>
      </c>
      <c r="AJ51" s="45">
        <f t="shared" si="39"/>
        <v>0</v>
      </c>
      <c r="AK51" s="45">
        <f t="shared" si="39"/>
        <v>0</v>
      </c>
      <c r="AL51" s="45">
        <f t="shared" si="39"/>
        <v>0</v>
      </c>
      <c r="AM51" s="45">
        <f t="shared" si="39"/>
        <v>0</v>
      </c>
    </row>
    <row r="52" spans="1:41" x14ac:dyDescent="0.25">
      <c r="A52" s="22" t="s">
        <v>94</v>
      </c>
      <c r="B52" s="23" t="s">
        <v>98</v>
      </c>
      <c r="C52" s="29">
        <v>3</v>
      </c>
      <c r="D52" s="24" t="s">
        <v>115</v>
      </c>
      <c r="E52" s="39">
        <v>46083</v>
      </c>
      <c r="F52" s="193">
        <v>0.70833333333333337</v>
      </c>
      <c r="G52" s="213" t="s">
        <v>77</v>
      </c>
      <c r="H52" s="206"/>
      <c r="I52" s="167" t="s">
        <v>187</v>
      </c>
      <c r="J52" s="168" t="s">
        <v>188</v>
      </c>
      <c r="K52" s="3">
        <f t="shared" si="35"/>
        <v>2</v>
      </c>
      <c r="L52">
        <f t="shared" si="36"/>
        <v>1</v>
      </c>
      <c r="M52" s="45">
        <f t="shared" si="32"/>
        <v>85</v>
      </c>
      <c r="N52" s="48">
        <f t="shared" si="37"/>
        <v>10</v>
      </c>
      <c r="O52" s="45">
        <f t="shared" si="38"/>
        <v>0</v>
      </c>
      <c r="P52" s="45">
        <f t="shared" si="38"/>
        <v>0</v>
      </c>
      <c r="Q52" s="45">
        <f t="shared" si="38"/>
        <v>0</v>
      </c>
      <c r="R52" s="45">
        <f t="shared" si="38"/>
        <v>0</v>
      </c>
      <c r="S52" s="45">
        <f t="shared" si="38"/>
        <v>0</v>
      </c>
      <c r="T52" s="45">
        <f t="shared" si="38"/>
        <v>0</v>
      </c>
      <c r="U52" s="45">
        <f t="shared" si="38"/>
        <v>0</v>
      </c>
      <c r="V52" s="45">
        <f t="shared" si="38"/>
        <v>0</v>
      </c>
      <c r="W52" s="45">
        <f t="shared" si="38"/>
        <v>0</v>
      </c>
      <c r="X52" s="45">
        <f t="shared" si="38"/>
        <v>0</v>
      </c>
      <c r="Y52" s="45">
        <f t="shared" si="39"/>
        <v>0</v>
      </c>
      <c r="Z52" s="45">
        <f t="shared" si="39"/>
        <v>75</v>
      </c>
      <c r="AA52" s="45">
        <f t="shared" si="39"/>
        <v>0</v>
      </c>
      <c r="AB52" s="45">
        <f t="shared" si="39"/>
        <v>0</v>
      </c>
      <c r="AC52" s="45">
        <f t="shared" si="39"/>
        <v>0</v>
      </c>
      <c r="AD52" s="45">
        <f t="shared" si="39"/>
        <v>0</v>
      </c>
      <c r="AE52" s="45">
        <f t="shared" si="39"/>
        <v>0</v>
      </c>
      <c r="AF52" s="45">
        <f t="shared" si="39"/>
        <v>0</v>
      </c>
      <c r="AG52" s="45">
        <f t="shared" si="39"/>
        <v>0</v>
      </c>
      <c r="AH52" s="45">
        <f t="shared" si="39"/>
        <v>0</v>
      </c>
      <c r="AI52" s="45">
        <f t="shared" si="39"/>
        <v>0</v>
      </c>
      <c r="AJ52" s="45">
        <f t="shared" si="39"/>
        <v>0</v>
      </c>
      <c r="AK52" s="45">
        <f t="shared" si="39"/>
        <v>0</v>
      </c>
      <c r="AL52" s="45">
        <f t="shared" si="39"/>
        <v>0</v>
      </c>
      <c r="AM52" s="45">
        <f t="shared" si="39"/>
        <v>0</v>
      </c>
    </row>
    <row r="53" spans="1:41" x14ac:dyDescent="0.25">
      <c r="A53" s="16" t="s">
        <v>95</v>
      </c>
      <c r="B53" s="17" t="s">
        <v>99</v>
      </c>
      <c r="C53" s="32">
        <v>3</v>
      </c>
      <c r="D53" s="18" t="s">
        <v>115</v>
      </c>
      <c r="E53" s="42">
        <v>46084</v>
      </c>
      <c r="F53" s="195">
        <v>0.6875</v>
      </c>
      <c r="G53" s="209" t="s">
        <v>18</v>
      </c>
      <c r="H53" s="206"/>
      <c r="I53" s="171" t="s">
        <v>186</v>
      </c>
      <c r="J53" s="172" t="s">
        <v>188</v>
      </c>
      <c r="K53" s="3">
        <f t="shared" si="35"/>
        <v>3</v>
      </c>
      <c r="L53">
        <f t="shared" si="36"/>
        <v>1</v>
      </c>
      <c r="M53" s="45">
        <f t="shared" si="32"/>
        <v>85</v>
      </c>
      <c r="N53" s="48">
        <f t="shared" si="37"/>
        <v>10</v>
      </c>
      <c r="O53" s="45">
        <f t="shared" si="38"/>
        <v>0</v>
      </c>
      <c r="P53" s="45">
        <f t="shared" si="38"/>
        <v>75</v>
      </c>
      <c r="Q53" s="45">
        <f t="shared" si="38"/>
        <v>0</v>
      </c>
      <c r="R53" s="45">
        <f t="shared" si="38"/>
        <v>0</v>
      </c>
      <c r="S53" s="45">
        <f t="shared" si="38"/>
        <v>0</v>
      </c>
      <c r="T53" s="45">
        <f t="shared" si="38"/>
        <v>0</v>
      </c>
      <c r="U53" s="45">
        <f t="shared" si="38"/>
        <v>0</v>
      </c>
      <c r="V53" s="45">
        <f t="shared" si="38"/>
        <v>0</v>
      </c>
      <c r="W53" s="45">
        <f t="shared" si="38"/>
        <v>0</v>
      </c>
      <c r="X53" s="45">
        <f t="shared" si="38"/>
        <v>0</v>
      </c>
      <c r="Y53" s="45">
        <f t="shared" si="39"/>
        <v>0</v>
      </c>
      <c r="Z53" s="45">
        <f t="shared" si="39"/>
        <v>0</v>
      </c>
      <c r="AA53" s="45">
        <f t="shared" si="39"/>
        <v>0</v>
      </c>
      <c r="AB53" s="45">
        <f t="shared" si="39"/>
        <v>0</v>
      </c>
      <c r="AC53" s="45">
        <f t="shared" si="39"/>
        <v>0</v>
      </c>
      <c r="AD53" s="45">
        <f t="shared" si="39"/>
        <v>0</v>
      </c>
      <c r="AE53" s="45">
        <f t="shared" si="39"/>
        <v>0</v>
      </c>
      <c r="AF53" s="45">
        <f t="shared" si="39"/>
        <v>0</v>
      </c>
      <c r="AG53" s="45">
        <f t="shared" si="39"/>
        <v>0</v>
      </c>
      <c r="AH53" s="45">
        <f t="shared" si="39"/>
        <v>0</v>
      </c>
      <c r="AI53" s="45">
        <f t="shared" si="39"/>
        <v>0</v>
      </c>
      <c r="AJ53" s="45">
        <f t="shared" si="39"/>
        <v>0</v>
      </c>
      <c r="AK53" s="45">
        <f t="shared" si="39"/>
        <v>0</v>
      </c>
      <c r="AL53" s="45">
        <f t="shared" si="39"/>
        <v>0</v>
      </c>
      <c r="AM53" s="45">
        <f t="shared" si="39"/>
        <v>0</v>
      </c>
    </row>
    <row r="54" spans="1:41" x14ac:dyDescent="0.25">
      <c r="A54" s="13" t="s">
        <v>96</v>
      </c>
      <c r="B54" s="14" t="s">
        <v>93</v>
      </c>
      <c r="C54" s="31">
        <v>3</v>
      </c>
      <c r="D54" s="15" t="s">
        <v>115</v>
      </c>
      <c r="E54" s="41">
        <v>46084</v>
      </c>
      <c r="F54" s="194">
        <v>0.79166666666666663</v>
      </c>
      <c r="G54" s="208" t="s">
        <v>24</v>
      </c>
      <c r="H54" s="208" t="s">
        <v>18</v>
      </c>
      <c r="I54" s="169" t="s">
        <v>186</v>
      </c>
      <c r="J54" s="170" t="s">
        <v>190</v>
      </c>
      <c r="K54" s="3">
        <f t="shared" si="35"/>
        <v>3</v>
      </c>
      <c r="L54" t="str">
        <f t="shared" si="36"/>
        <v/>
      </c>
      <c r="M54" s="45">
        <f t="shared" si="32"/>
        <v>165</v>
      </c>
      <c r="N54" s="48">
        <f t="shared" si="37"/>
        <v>20</v>
      </c>
      <c r="O54" s="45">
        <f t="shared" si="38"/>
        <v>0</v>
      </c>
      <c r="P54" s="45">
        <f t="shared" si="38"/>
        <v>70</v>
      </c>
      <c r="Q54" s="45">
        <f t="shared" si="38"/>
        <v>0</v>
      </c>
      <c r="R54" s="45">
        <f t="shared" si="38"/>
        <v>75</v>
      </c>
      <c r="S54" s="45">
        <f t="shared" si="38"/>
        <v>0</v>
      </c>
      <c r="T54" s="45">
        <f t="shared" si="38"/>
        <v>0</v>
      </c>
      <c r="U54" s="45">
        <f t="shared" si="38"/>
        <v>0</v>
      </c>
      <c r="V54" s="45">
        <f t="shared" si="38"/>
        <v>0</v>
      </c>
      <c r="W54" s="45">
        <f t="shared" si="38"/>
        <v>0</v>
      </c>
      <c r="X54" s="45">
        <f t="shared" si="38"/>
        <v>0</v>
      </c>
      <c r="Y54" s="45">
        <f t="shared" si="39"/>
        <v>0</v>
      </c>
      <c r="Z54" s="45">
        <f t="shared" si="39"/>
        <v>0</v>
      </c>
      <c r="AA54" s="45">
        <f t="shared" si="39"/>
        <v>0</v>
      </c>
      <c r="AB54" s="45">
        <f t="shared" si="39"/>
        <v>0</v>
      </c>
      <c r="AC54" s="45">
        <f t="shared" si="39"/>
        <v>0</v>
      </c>
      <c r="AD54" s="45">
        <f t="shared" si="39"/>
        <v>0</v>
      </c>
      <c r="AE54" s="45">
        <f t="shared" si="39"/>
        <v>0</v>
      </c>
      <c r="AF54" s="45">
        <f t="shared" si="39"/>
        <v>0</v>
      </c>
      <c r="AG54" s="45">
        <f t="shared" si="39"/>
        <v>0</v>
      </c>
      <c r="AH54" s="45">
        <f t="shared" si="39"/>
        <v>0</v>
      </c>
      <c r="AI54" s="45">
        <f t="shared" si="39"/>
        <v>0</v>
      </c>
      <c r="AJ54" s="45">
        <f t="shared" si="39"/>
        <v>0</v>
      </c>
      <c r="AK54" s="45">
        <f t="shared" si="39"/>
        <v>0</v>
      </c>
      <c r="AL54" s="45">
        <f t="shared" si="39"/>
        <v>0</v>
      </c>
      <c r="AM54" s="45">
        <f t="shared" si="39"/>
        <v>0</v>
      </c>
    </row>
    <row r="55" spans="1:41" x14ac:dyDescent="0.25">
      <c r="A55" s="19" t="s">
        <v>99</v>
      </c>
      <c r="B55" s="20" t="s">
        <v>94</v>
      </c>
      <c r="C55" s="30">
        <v>3</v>
      </c>
      <c r="D55" s="21" t="s">
        <v>115</v>
      </c>
      <c r="E55" s="40">
        <v>46084</v>
      </c>
      <c r="F55" s="198">
        <v>0.6875</v>
      </c>
      <c r="G55" s="214" t="s">
        <v>28</v>
      </c>
      <c r="H55" s="206"/>
      <c r="I55" s="177" t="s">
        <v>187</v>
      </c>
      <c r="J55" s="178" t="s">
        <v>189</v>
      </c>
      <c r="K55" s="3">
        <f t="shared" si="35"/>
        <v>3</v>
      </c>
      <c r="L55">
        <f t="shared" si="36"/>
        <v>1</v>
      </c>
      <c r="M55" s="45">
        <f t="shared" si="32"/>
        <v>80</v>
      </c>
      <c r="N55" s="48">
        <f t="shared" si="37"/>
        <v>10</v>
      </c>
      <c r="O55" s="45">
        <f t="shared" si="38"/>
        <v>0</v>
      </c>
      <c r="P55" s="45">
        <f t="shared" si="38"/>
        <v>0</v>
      </c>
      <c r="Q55" s="45">
        <f t="shared" si="38"/>
        <v>0</v>
      </c>
      <c r="R55" s="45">
        <f t="shared" si="38"/>
        <v>0</v>
      </c>
      <c r="S55" s="45">
        <f t="shared" si="38"/>
        <v>0</v>
      </c>
      <c r="T55" s="45">
        <f t="shared" si="38"/>
        <v>0</v>
      </c>
      <c r="U55" s="45">
        <f t="shared" si="38"/>
        <v>0</v>
      </c>
      <c r="V55" s="45">
        <f t="shared" si="38"/>
        <v>0</v>
      </c>
      <c r="W55" s="45">
        <f t="shared" si="38"/>
        <v>0</v>
      </c>
      <c r="X55" s="45">
        <f t="shared" si="38"/>
        <v>0</v>
      </c>
      <c r="Y55" s="45">
        <f t="shared" si="39"/>
        <v>0</v>
      </c>
      <c r="Z55" s="45">
        <f t="shared" si="39"/>
        <v>0</v>
      </c>
      <c r="AA55" s="45">
        <f t="shared" si="39"/>
        <v>70</v>
      </c>
      <c r="AB55" s="45">
        <f t="shared" si="39"/>
        <v>0</v>
      </c>
      <c r="AC55" s="45">
        <f t="shared" si="39"/>
        <v>0</v>
      </c>
      <c r="AD55" s="45">
        <f t="shared" si="39"/>
        <v>0</v>
      </c>
      <c r="AE55" s="45">
        <f t="shared" si="39"/>
        <v>0</v>
      </c>
      <c r="AF55" s="45">
        <f t="shared" si="39"/>
        <v>0</v>
      </c>
      <c r="AG55" s="45">
        <f t="shared" si="39"/>
        <v>0</v>
      </c>
      <c r="AH55" s="45">
        <f t="shared" si="39"/>
        <v>0</v>
      </c>
      <c r="AI55" s="45">
        <f t="shared" si="39"/>
        <v>0</v>
      </c>
      <c r="AJ55" s="45">
        <f t="shared" si="39"/>
        <v>0</v>
      </c>
      <c r="AK55" s="45">
        <f t="shared" si="39"/>
        <v>0</v>
      </c>
      <c r="AL55" s="45">
        <f t="shared" si="39"/>
        <v>0</v>
      </c>
      <c r="AM55" s="45">
        <f t="shared" si="39"/>
        <v>0</v>
      </c>
    </row>
    <row r="56" spans="1:41" x14ac:dyDescent="0.25">
      <c r="A56" s="16" t="s">
        <v>89</v>
      </c>
      <c r="B56" s="17" t="s">
        <v>93</v>
      </c>
      <c r="C56" s="32">
        <v>3</v>
      </c>
      <c r="D56" s="18" t="s">
        <v>115</v>
      </c>
      <c r="E56" s="42">
        <v>46084</v>
      </c>
      <c r="F56" s="195">
        <v>0.79166666666666663</v>
      </c>
      <c r="G56" s="209" t="s">
        <v>21</v>
      </c>
      <c r="H56" s="206"/>
      <c r="I56" s="171" t="s">
        <v>187</v>
      </c>
      <c r="J56" s="172" t="s">
        <v>188</v>
      </c>
      <c r="K56" s="3">
        <f t="shared" si="35"/>
        <v>3</v>
      </c>
      <c r="L56">
        <f t="shared" si="36"/>
        <v>1</v>
      </c>
      <c r="M56" s="45">
        <f t="shared" si="32"/>
        <v>85</v>
      </c>
      <c r="N56" s="48">
        <f t="shared" si="37"/>
        <v>10</v>
      </c>
      <c r="O56" s="45">
        <f t="shared" si="38"/>
        <v>0</v>
      </c>
      <c r="P56" s="45">
        <f t="shared" si="38"/>
        <v>0</v>
      </c>
      <c r="Q56" s="45">
        <f t="shared" si="38"/>
        <v>0</v>
      </c>
      <c r="R56" s="45">
        <f t="shared" si="38"/>
        <v>0</v>
      </c>
      <c r="S56" s="45">
        <f t="shared" si="38"/>
        <v>0</v>
      </c>
      <c r="T56" s="45">
        <f t="shared" si="38"/>
        <v>0</v>
      </c>
      <c r="U56" s="45">
        <f t="shared" si="38"/>
        <v>0</v>
      </c>
      <c r="V56" s="45">
        <f t="shared" si="38"/>
        <v>75</v>
      </c>
      <c r="W56" s="45">
        <f t="shared" si="38"/>
        <v>0</v>
      </c>
      <c r="X56" s="45">
        <f t="shared" si="38"/>
        <v>0</v>
      </c>
      <c r="Y56" s="45">
        <f t="shared" si="39"/>
        <v>0</v>
      </c>
      <c r="Z56" s="45">
        <f t="shared" si="39"/>
        <v>0</v>
      </c>
      <c r="AA56" s="45">
        <f t="shared" si="39"/>
        <v>0</v>
      </c>
      <c r="AB56" s="45">
        <f t="shared" si="39"/>
        <v>0</v>
      </c>
      <c r="AC56" s="45">
        <f t="shared" si="39"/>
        <v>0</v>
      </c>
      <c r="AD56" s="45">
        <f t="shared" si="39"/>
        <v>0</v>
      </c>
      <c r="AE56" s="45">
        <f t="shared" si="39"/>
        <v>0</v>
      </c>
      <c r="AF56" s="45">
        <f t="shared" si="39"/>
        <v>0</v>
      </c>
      <c r="AG56" s="45">
        <f t="shared" si="39"/>
        <v>0</v>
      </c>
      <c r="AH56" s="45">
        <f t="shared" si="39"/>
        <v>0</v>
      </c>
      <c r="AI56" s="45">
        <f t="shared" si="39"/>
        <v>0</v>
      </c>
      <c r="AJ56" s="45">
        <f t="shared" si="39"/>
        <v>0</v>
      </c>
      <c r="AK56" s="45">
        <f t="shared" si="39"/>
        <v>0</v>
      </c>
      <c r="AL56" s="45">
        <f t="shared" si="39"/>
        <v>0</v>
      </c>
      <c r="AM56" s="45">
        <f t="shared" si="39"/>
        <v>0</v>
      </c>
    </row>
    <row r="57" spans="1:41" x14ac:dyDescent="0.25">
      <c r="A57" s="55" t="s">
        <v>97</v>
      </c>
      <c r="B57" s="56" t="s">
        <v>89</v>
      </c>
      <c r="C57" s="57">
        <v>3</v>
      </c>
      <c r="D57" s="58" t="s">
        <v>115</v>
      </c>
      <c r="E57" s="59">
        <v>46085</v>
      </c>
      <c r="F57" s="192">
        <v>0.70833333333333337</v>
      </c>
      <c r="G57" s="207" t="s">
        <v>18</v>
      </c>
      <c r="H57" s="207" t="s">
        <v>21</v>
      </c>
      <c r="I57" s="165" t="s">
        <v>186</v>
      </c>
      <c r="J57" s="166" t="s">
        <v>190</v>
      </c>
      <c r="K57" s="3">
        <f t="shared" si="35"/>
        <v>4</v>
      </c>
      <c r="L57" t="str">
        <f t="shared" si="36"/>
        <v/>
      </c>
      <c r="M57" s="45">
        <f t="shared" si="32"/>
        <v>165</v>
      </c>
      <c r="N57" s="48">
        <f t="shared" si="37"/>
        <v>20</v>
      </c>
      <c r="O57" s="45">
        <f t="shared" si="38"/>
        <v>0</v>
      </c>
      <c r="P57" s="45">
        <f t="shared" si="38"/>
        <v>75</v>
      </c>
      <c r="Q57" s="45">
        <f t="shared" si="38"/>
        <v>0</v>
      </c>
      <c r="R57" s="45">
        <f t="shared" si="38"/>
        <v>0</v>
      </c>
      <c r="S57" s="45">
        <f t="shared" si="38"/>
        <v>0</v>
      </c>
      <c r="T57" s="45">
        <f t="shared" si="38"/>
        <v>0</v>
      </c>
      <c r="U57" s="45">
        <f t="shared" si="38"/>
        <v>0</v>
      </c>
      <c r="V57" s="45">
        <f t="shared" si="38"/>
        <v>70</v>
      </c>
      <c r="W57" s="45">
        <f t="shared" si="38"/>
        <v>0</v>
      </c>
      <c r="X57" s="45">
        <f t="shared" si="38"/>
        <v>0</v>
      </c>
      <c r="Y57" s="45">
        <f t="shared" si="39"/>
        <v>0</v>
      </c>
      <c r="Z57" s="45">
        <f t="shared" si="39"/>
        <v>0</v>
      </c>
      <c r="AA57" s="45">
        <f t="shared" si="39"/>
        <v>0</v>
      </c>
      <c r="AB57" s="45">
        <f t="shared" si="39"/>
        <v>0</v>
      </c>
      <c r="AC57" s="45">
        <f t="shared" si="39"/>
        <v>0</v>
      </c>
      <c r="AD57" s="45">
        <f t="shared" si="39"/>
        <v>0</v>
      </c>
      <c r="AE57" s="45">
        <f t="shared" si="39"/>
        <v>0</v>
      </c>
      <c r="AF57" s="45">
        <f t="shared" si="39"/>
        <v>0</v>
      </c>
      <c r="AG57" s="45">
        <f t="shared" si="39"/>
        <v>0</v>
      </c>
      <c r="AH57" s="45">
        <f t="shared" si="39"/>
        <v>0</v>
      </c>
      <c r="AI57" s="45">
        <f t="shared" si="39"/>
        <v>0</v>
      </c>
      <c r="AJ57" s="45">
        <f t="shared" si="39"/>
        <v>0</v>
      </c>
      <c r="AK57" s="45">
        <f t="shared" si="39"/>
        <v>0</v>
      </c>
      <c r="AL57" s="45">
        <f t="shared" si="39"/>
        <v>0</v>
      </c>
      <c r="AM57" s="45">
        <f t="shared" si="39"/>
        <v>0</v>
      </c>
    </row>
    <row r="58" spans="1:41" x14ac:dyDescent="0.25">
      <c r="A58" s="60" t="s">
        <v>98</v>
      </c>
      <c r="B58" s="61" t="s">
        <v>100</v>
      </c>
      <c r="C58" s="62">
        <v>3</v>
      </c>
      <c r="D58" s="63" t="s">
        <v>115</v>
      </c>
      <c r="E58" s="64">
        <v>46085</v>
      </c>
      <c r="F58" s="199">
        <v>0.70833333333333337</v>
      </c>
      <c r="G58" s="215" t="s">
        <v>28</v>
      </c>
      <c r="H58" s="206"/>
      <c r="I58" s="179" t="s">
        <v>187</v>
      </c>
      <c r="J58" s="180" t="s">
        <v>189</v>
      </c>
      <c r="K58" s="3">
        <f t="shared" si="35"/>
        <v>4</v>
      </c>
      <c r="L58">
        <f t="shared" si="36"/>
        <v>1</v>
      </c>
      <c r="M58" s="45">
        <f t="shared" si="32"/>
        <v>80</v>
      </c>
      <c r="N58" s="48">
        <f t="shared" si="37"/>
        <v>10</v>
      </c>
      <c r="O58" s="45">
        <f t="shared" si="38"/>
        <v>0</v>
      </c>
      <c r="P58" s="45">
        <f t="shared" si="38"/>
        <v>0</v>
      </c>
      <c r="Q58" s="45">
        <f t="shared" si="38"/>
        <v>0</v>
      </c>
      <c r="R58" s="45">
        <f t="shared" si="38"/>
        <v>0</v>
      </c>
      <c r="S58" s="45">
        <f t="shared" si="38"/>
        <v>0</v>
      </c>
      <c r="T58" s="45">
        <f t="shared" si="38"/>
        <v>0</v>
      </c>
      <c r="U58" s="45">
        <f t="shared" si="38"/>
        <v>0</v>
      </c>
      <c r="V58" s="45">
        <f t="shared" si="38"/>
        <v>0</v>
      </c>
      <c r="W58" s="45">
        <f t="shared" si="38"/>
        <v>0</v>
      </c>
      <c r="X58" s="45">
        <f t="shared" si="38"/>
        <v>0</v>
      </c>
      <c r="Y58" s="45">
        <f t="shared" si="39"/>
        <v>0</v>
      </c>
      <c r="Z58" s="45">
        <f t="shared" si="39"/>
        <v>0</v>
      </c>
      <c r="AA58" s="45">
        <f t="shared" si="39"/>
        <v>70</v>
      </c>
      <c r="AB58" s="45">
        <f t="shared" si="39"/>
        <v>0</v>
      </c>
      <c r="AC58" s="45">
        <f t="shared" si="39"/>
        <v>0</v>
      </c>
      <c r="AD58" s="45">
        <f t="shared" si="39"/>
        <v>0</v>
      </c>
      <c r="AE58" s="45">
        <f t="shared" si="39"/>
        <v>0</v>
      </c>
      <c r="AF58" s="45">
        <f t="shared" si="39"/>
        <v>0</v>
      </c>
      <c r="AG58" s="45">
        <f t="shared" si="39"/>
        <v>0</v>
      </c>
      <c r="AH58" s="45">
        <f t="shared" si="39"/>
        <v>0</v>
      </c>
      <c r="AI58" s="45">
        <f t="shared" si="39"/>
        <v>0</v>
      </c>
      <c r="AJ58" s="45">
        <f t="shared" si="39"/>
        <v>0</v>
      </c>
      <c r="AK58" s="45">
        <f t="shared" si="39"/>
        <v>0</v>
      </c>
      <c r="AL58" s="45">
        <f t="shared" si="39"/>
        <v>0</v>
      </c>
      <c r="AM58" s="45">
        <f t="shared" si="39"/>
        <v>0</v>
      </c>
    </row>
    <row r="59" spans="1:41" x14ac:dyDescent="0.25">
      <c r="A59" s="19" t="s">
        <v>92</v>
      </c>
      <c r="B59" s="20" t="s">
        <v>89</v>
      </c>
      <c r="C59" s="30">
        <v>3</v>
      </c>
      <c r="D59" s="21" t="s">
        <v>115</v>
      </c>
      <c r="E59" s="40">
        <v>46086</v>
      </c>
      <c r="F59" s="198">
        <v>0.6875</v>
      </c>
      <c r="G59" s="214" t="s">
        <v>20</v>
      </c>
      <c r="H59" s="206"/>
      <c r="I59" s="177" t="s">
        <v>186</v>
      </c>
      <c r="J59" s="178" t="s">
        <v>189</v>
      </c>
      <c r="K59" s="3">
        <f t="shared" si="35"/>
        <v>5</v>
      </c>
      <c r="L59">
        <f t="shared" si="36"/>
        <v>1</v>
      </c>
      <c r="M59" s="45">
        <f t="shared" si="32"/>
        <v>80</v>
      </c>
      <c r="N59" s="48">
        <f t="shared" si="37"/>
        <v>10</v>
      </c>
      <c r="O59" s="45">
        <f t="shared" si="38"/>
        <v>0</v>
      </c>
      <c r="P59" s="45">
        <f t="shared" si="38"/>
        <v>0</v>
      </c>
      <c r="Q59" s="45">
        <f t="shared" si="38"/>
        <v>0</v>
      </c>
      <c r="R59" s="45">
        <f t="shared" si="38"/>
        <v>0</v>
      </c>
      <c r="S59" s="45">
        <f t="shared" si="38"/>
        <v>70</v>
      </c>
      <c r="T59" s="45">
        <f t="shared" si="38"/>
        <v>0</v>
      </c>
      <c r="U59" s="45">
        <f t="shared" si="38"/>
        <v>0</v>
      </c>
      <c r="V59" s="45">
        <f t="shared" si="38"/>
        <v>0</v>
      </c>
      <c r="W59" s="45">
        <f t="shared" si="38"/>
        <v>0</v>
      </c>
      <c r="X59" s="45">
        <f t="shared" si="38"/>
        <v>0</v>
      </c>
      <c r="Y59" s="45">
        <f t="shared" si="39"/>
        <v>0</v>
      </c>
      <c r="Z59" s="45">
        <f t="shared" si="39"/>
        <v>0</v>
      </c>
      <c r="AA59" s="45">
        <f t="shared" si="39"/>
        <v>0</v>
      </c>
      <c r="AB59" s="45">
        <f t="shared" si="39"/>
        <v>0</v>
      </c>
      <c r="AC59" s="45">
        <f t="shared" si="39"/>
        <v>0</v>
      </c>
      <c r="AD59" s="45">
        <f t="shared" si="39"/>
        <v>0</v>
      </c>
      <c r="AE59" s="45">
        <f t="shared" si="39"/>
        <v>0</v>
      </c>
      <c r="AF59" s="45">
        <f t="shared" si="39"/>
        <v>0</v>
      </c>
      <c r="AG59" s="45">
        <f t="shared" si="39"/>
        <v>0</v>
      </c>
      <c r="AH59" s="45">
        <f t="shared" si="39"/>
        <v>0</v>
      </c>
      <c r="AI59" s="45">
        <f t="shared" si="39"/>
        <v>0</v>
      </c>
      <c r="AJ59" s="45">
        <f t="shared" si="39"/>
        <v>0</v>
      </c>
      <c r="AK59" s="45">
        <f t="shared" si="39"/>
        <v>0</v>
      </c>
      <c r="AL59" s="45">
        <f t="shared" si="39"/>
        <v>0</v>
      </c>
      <c r="AM59" s="45">
        <f t="shared" si="39"/>
        <v>0</v>
      </c>
    </row>
    <row r="60" spans="1:41" x14ac:dyDescent="0.25">
      <c r="A60" s="13" t="s">
        <v>94</v>
      </c>
      <c r="B60" s="14" t="s">
        <v>92</v>
      </c>
      <c r="C60" s="31">
        <v>3</v>
      </c>
      <c r="D60" s="15" t="s">
        <v>115</v>
      </c>
      <c r="E60" s="41">
        <v>46086</v>
      </c>
      <c r="F60" s="194">
        <v>0.79166666666666663</v>
      </c>
      <c r="G60" s="208" t="s">
        <v>19</v>
      </c>
      <c r="H60" s="208" t="s">
        <v>20</v>
      </c>
      <c r="I60" s="169" t="s">
        <v>186</v>
      </c>
      <c r="J60" s="170" t="s">
        <v>190</v>
      </c>
      <c r="K60" s="3">
        <f t="shared" si="35"/>
        <v>5</v>
      </c>
      <c r="L60" t="str">
        <f t="shared" si="36"/>
        <v/>
      </c>
      <c r="M60" s="45">
        <f t="shared" si="32"/>
        <v>165</v>
      </c>
      <c r="N60" s="48">
        <f t="shared" si="37"/>
        <v>20</v>
      </c>
      <c r="O60" s="45">
        <f t="shared" si="38"/>
        <v>75</v>
      </c>
      <c r="P60" s="45">
        <f t="shared" si="38"/>
        <v>0</v>
      </c>
      <c r="Q60" s="45">
        <f t="shared" si="38"/>
        <v>0</v>
      </c>
      <c r="R60" s="45">
        <f t="shared" si="38"/>
        <v>0</v>
      </c>
      <c r="S60" s="45">
        <f t="shared" si="38"/>
        <v>70</v>
      </c>
      <c r="T60" s="45">
        <f t="shared" si="38"/>
        <v>0</v>
      </c>
      <c r="U60" s="45">
        <f t="shared" si="38"/>
        <v>0</v>
      </c>
      <c r="V60" s="45">
        <f t="shared" si="38"/>
        <v>0</v>
      </c>
      <c r="W60" s="45">
        <f t="shared" si="38"/>
        <v>0</v>
      </c>
      <c r="X60" s="45">
        <f t="shared" si="38"/>
        <v>0</v>
      </c>
      <c r="Y60" s="45">
        <f t="shared" si="39"/>
        <v>0</v>
      </c>
      <c r="Z60" s="45">
        <f t="shared" si="39"/>
        <v>0</v>
      </c>
      <c r="AA60" s="45">
        <f t="shared" si="39"/>
        <v>0</v>
      </c>
      <c r="AB60" s="45">
        <f t="shared" si="39"/>
        <v>0</v>
      </c>
      <c r="AC60" s="45">
        <f t="shared" si="39"/>
        <v>0</v>
      </c>
      <c r="AD60" s="45">
        <f t="shared" si="39"/>
        <v>0</v>
      </c>
      <c r="AE60" s="45">
        <f t="shared" si="39"/>
        <v>0</v>
      </c>
      <c r="AF60" s="45">
        <f t="shared" si="39"/>
        <v>0</v>
      </c>
      <c r="AG60" s="45">
        <f t="shared" si="39"/>
        <v>0</v>
      </c>
      <c r="AH60" s="45">
        <f t="shared" si="39"/>
        <v>0</v>
      </c>
      <c r="AI60" s="45">
        <f t="shared" si="39"/>
        <v>0</v>
      </c>
      <c r="AJ60" s="45">
        <f t="shared" si="39"/>
        <v>0</v>
      </c>
      <c r="AK60" s="45">
        <f t="shared" si="39"/>
        <v>0</v>
      </c>
      <c r="AL60" s="45">
        <f t="shared" si="39"/>
        <v>0</v>
      </c>
      <c r="AM60" s="45">
        <f t="shared" si="39"/>
        <v>0</v>
      </c>
    </row>
    <row r="61" spans="1:41" x14ac:dyDescent="0.25">
      <c r="A61" s="19" t="s">
        <v>90</v>
      </c>
      <c r="B61" s="20" t="s">
        <v>101</v>
      </c>
      <c r="C61" s="30">
        <v>3</v>
      </c>
      <c r="D61" s="21" t="s">
        <v>115</v>
      </c>
      <c r="E61" s="40">
        <v>46086</v>
      </c>
      <c r="F61" s="198">
        <v>0.6875</v>
      </c>
      <c r="G61" s="214" t="s">
        <v>106</v>
      </c>
      <c r="H61" s="206"/>
      <c r="I61" s="177" t="s">
        <v>187</v>
      </c>
      <c r="J61" s="178" t="s">
        <v>189</v>
      </c>
      <c r="K61" s="3">
        <f t="shared" si="35"/>
        <v>5</v>
      </c>
      <c r="L61">
        <f t="shared" si="36"/>
        <v>1</v>
      </c>
      <c r="M61" s="45">
        <f t="shared" si="32"/>
        <v>80</v>
      </c>
      <c r="N61" s="48">
        <f t="shared" si="37"/>
        <v>10</v>
      </c>
      <c r="O61" s="45">
        <f t="shared" ref="O61:X70" si="40">IF($G61=O$1,VLOOKUP($J61,$AP:$AQ,2,FALSE),IF($H61=O$1,70,0))</f>
        <v>0</v>
      </c>
      <c r="P61" s="45">
        <f t="shared" si="40"/>
        <v>0</v>
      </c>
      <c r="Q61" s="45">
        <f t="shared" si="40"/>
        <v>0</v>
      </c>
      <c r="R61" s="45">
        <f t="shared" si="40"/>
        <v>0</v>
      </c>
      <c r="S61" s="45">
        <f t="shared" si="40"/>
        <v>0</v>
      </c>
      <c r="T61" s="45">
        <f t="shared" si="40"/>
        <v>0</v>
      </c>
      <c r="U61" s="45">
        <f t="shared" si="40"/>
        <v>0</v>
      </c>
      <c r="V61" s="45">
        <f t="shared" si="40"/>
        <v>0</v>
      </c>
      <c r="W61" s="45">
        <f t="shared" si="40"/>
        <v>0</v>
      </c>
      <c r="X61" s="45">
        <f t="shared" si="40"/>
        <v>0</v>
      </c>
      <c r="Y61" s="45">
        <f t="shared" ref="Y61:AM70" si="41">IF($G61=Y$1,VLOOKUP($J61,$AP:$AQ,2,FALSE),IF($H61=Y$1,70,0))</f>
        <v>0</v>
      </c>
      <c r="Z61" s="45">
        <f t="shared" si="41"/>
        <v>0</v>
      </c>
      <c r="AA61" s="45">
        <f t="shared" si="41"/>
        <v>0</v>
      </c>
      <c r="AB61" s="45">
        <f t="shared" si="41"/>
        <v>0</v>
      </c>
      <c r="AC61" s="45">
        <f t="shared" si="41"/>
        <v>0</v>
      </c>
      <c r="AD61" s="45">
        <f t="shared" si="41"/>
        <v>70</v>
      </c>
      <c r="AE61" s="45">
        <f t="shared" si="41"/>
        <v>0</v>
      </c>
      <c r="AF61" s="45">
        <f t="shared" si="41"/>
        <v>0</v>
      </c>
      <c r="AG61" s="45">
        <f t="shared" si="41"/>
        <v>0</v>
      </c>
      <c r="AH61" s="45">
        <f t="shared" si="41"/>
        <v>0</v>
      </c>
      <c r="AI61" s="45">
        <f t="shared" si="41"/>
        <v>0</v>
      </c>
      <c r="AJ61" s="45">
        <f t="shared" si="41"/>
        <v>0</v>
      </c>
      <c r="AK61" s="45">
        <f t="shared" si="41"/>
        <v>0</v>
      </c>
      <c r="AL61" s="45">
        <f t="shared" si="41"/>
        <v>0</v>
      </c>
      <c r="AM61" s="45">
        <f t="shared" si="41"/>
        <v>0</v>
      </c>
    </row>
    <row r="62" spans="1:41" x14ac:dyDescent="0.25">
      <c r="A62" s="16" t="s">
        <v>96</v>
      </c>
      <c r="B62" s="17" t="s">
        <v>92</v>
      </c>
      <c r="C62" s="32">
        <v>3</v>
      </c>
      <c r="D62" s="18" t="s">
        <v>115</v>
      </c>
      <c r="E62" s="42">
        <v>46086</v>
      </c>
      <c r="F62" s="195">
        <v>0.79166666666666663</v>
      </c>
      <c r="G62" s="209" t="s">
        <v>21</v>
      </c>
      <c r="H62" s="206"/>
      <c r="I62" s="171" t="s">
        <v>187</v>
      </c>
      <c r="J62" s="172" t="s">
        <v>188</v>
      </c>
      <c r="K62" s="3">
        <f t="shared" si="35"/>
        <v>5</v>
      </c>
      <c r="L62">
        <f t="shared" si="36"/>
        <v>1</v>
      </c>
      <c r="M62" s="45">
        <f t="shared" si="32"/>
        <v>85</v>
      </c>
      <c r="N62" s="48">
        <f t="shared" si="37"/>
        <v>10</v>
      </c>
      <c r="O62" s="45">
        <f t="shared" si="40"/>
        <v>0</v>
      </c>
      <c r="P62" s="45">
        <f t="shared" si="40"/>
        <v>0</v>
      </c>
      <c r="Q62" s="45">
        <f t="shared" si="40"/>
        <v>0</v>
      </c>
      <c r="R62" s="45">
        <f t="shared" si="40"/>
        <v>0</v>
      </c>
      <c r="S62" s="45">
        <f t="shared" si="40"/>
        <v>0</v>
      </c>
      <c r="T62" s="45">
        <f t="shared" si="40"/>
        <v>0</v>
      </c>
      <c r="U62" s="45">
        <f t="shared" si="40"/>
        <v>0</v>
      </c>
      <c r="V62" s="45">
        <f t="shared" si="40"/>
        <v>75</v>
      </c>
      <c r="W62" s="45">
        <f t="shared" si="40"/>
        <v>0</v>
      </c>
      <c r="X62" s="45">
        <f t="shared" si="40"/>
        <v>0</v>
      </c>
      <c r="Y62" s="45">
        <f t="shared" si="41"/>
        <v>0</v>
      </c>
      <c r="Z62" s="45">
        <f t="shared" si="41"/>
        <v>0</v>
      </c>
      <c r="AA62" s="45">
        <f t="shared" si="41"/>
        <v>0</v>
      </c>
      <c r="AB62" s="45">
        <f t="shared" si="41"/>
        <v>0</v>
      </c>
      <c r="AC62" s="45">
        <f t="shared" si="41"/>
        <v>0</v>
      </c>
      <c r="AD62" s="45">
        <f t="shared" si="41"/>
        <v>0</v>
      </c>
      <c r="AE62" s="45">
        <f t="shared" si="41"/>
        <v>0</v>
      </c>
      <c r="AF62" s="45">
        <f t="shared" si="41"/>
        <v>0</v>
      </c>
      <c r="AG62" s="45">
        <f t="shared" si="41"/>
        <v>0</v>
      </c>
      <c r="AH62" s="45">
        <f t="shared" si="41"/>
        <v>0</v>
      </c>
      <c r="AI62" s="45">
        <f t="shared" si="41"/>
        <v>0</v>
      </c>
      <c r="AJ62" s="45">
        <f t="shared" si="41"/>
        <v>0</v>
      </c>
      <c r="AK62" s="45">
        <f t="shared" si="41"/>
        <v>0</v>
      </c>
      <c r="AL62" s="45">
        <f t="shared" si="41"/>
        <v>0</v>
      </c>
      <c r="AM62" s="45">
        <f t="shared" si="41"/>
        <v>0</v>
      </c>
    </row>
    <row r="63" spans="1:41" x14ac:dyDescent="0.25">
      <c r="A63" s="60" t="s">
        <v>97</v>
      </c>
      <c r="B63" s="61" t="s">
        <v>93</v>
      </c>
      <c r="C63" s="62">
        <v>3</v>
      </c>
      <c r="D63" s="63" t="s">
        <v>115</v>
      </c>
      <c r="E63" s="64">
        <v>46087</v>
      </c>
      <c r="F63" s="199">
        <v>0.70833333333333337</v>
      </c>
      <c r="G63" s="215" t="s">
        <v>73</v>
      </c>
      <c r="H63" s="206"/>
      <c r="I63" s="179" t="s">
        <v>186</v>
      </c>
      <c r="J63" s="180" t="s">
        <v>189</v>
      </c>
      <c r="K63" s="3">
        <f t="shared" si="35"/>
        <v>6</v>
      </c>
      <c r="L63">
        <f t="shared" si="36"/>
        <v>1</v>
      </c>
      <c r="M63" s="45">
        <f t="shared" si="32"/>
        <v>80</v>
      </c>
      <c r="N63" s="48">
        <f t="shared" si="37"/>
        <v>10</v>
      </c>
      <c r="O63" s="45">
        <f t="shared" si="40"/>
        <v>0</v>
      </c>
      <c r="P63" s="45">
        <f t="shared" si="40"/>
        <v>0</v>
      </c>
      <c r="Q63" s="45">
        <f t="shared" si="40"/>
        <v>0</v>
      </c>
      <c r="R63" s="45">
        <f t="shared" si="40"/>
        <v>0</v>
      </c>
      <c r="S63" s="45">
        <f t="shared" si="40"/>
        <v>0</v>
      </c>
      <c r="T63" s="45">
        <f t="shared" si="40"/>
        <v>0</v>
      </c>
      <c r="U63" s="45">
        <f t="shared" si="40"/>
        <v>70</v>
      </c>
      <c r="V63" s="45">
        <f t="shared" si="40"/>
        <v>0</v>
      </c>
      <c r="W63" s="45">
        <f t="shared" si="40"/>
        <v>0</v>
      </c>
      <c r="X63" s="45">
        <f t="shared" si="40"/>
        <v>0</v>
      </c>
      <c r="Y63" s="45">
        <f t="shared" si="41"/>
        <v>0</v>
      </c>
      <c r="Z63" s="45">
        <f t="shared" si="41"/>
        <v>0</v>
      </c>
      <c r="AA63" s="45">
        <f t="shared" si="41"/>
        <v>0</v>
      </c>
      <c r="AB63" s="45">
        <f t="shared" si="41"/>
        <v>0</v>
      </c>
      <c r="AC63" s="45">
        <f t="shared" si="41"/>
        <v>0</v>
      </c>
      <c r="AD63" s="45">
        <f t="shared" si="41"/>
        <v>0</v>
      </c>
      <c r="AE63" s="45">
        <f t="shared" si="41"/>
        <v>0</v>
      </c>
      <c r="AF63" s="45">
        <f t="shared" si="41"/>
        <v>0</v>
      </c>
      <c r="AG63" s="45">
        <f t="shared" si="41"/>
        <v>0</v>
      </c>
      <c r="AH63" s="45">
        <f t="shared" si="41"/>
        <v>0</v>
      </c>
      <c r="AI63" s="45">
        <f t="shared" si="41"/>
        <v>0</v>
      </c>
      <c r="AJ63" s="45">
        <f t="shared" si="41"/>
        <v>0</v>
      </c>
      <c r="AK63" s="45">
        <f t="shared" si="41"/>
        <v>0</v>
      </c>
      <c r="AL63" s="45">
        <f t="shared" si="41"/>
        <v>0</v>
      </c>
      <c r="AM63" s="45">
        <f t="shared" si="41"/>
        <v>0</v>
      </c>
    </row>
    <row r="64" spans="1:41" x14ac:dyDescent="0.25">
      <c r="A64" s="60" t="s">
        <v>95</v>
      </c>
      <c r="B64" s="61" t="s">
        <v>96</v>
      </c>
      <c r="C64" s="62">
        <v>3</v>
      </c>
      <c r="D64" s="63" t="s">
        <v>115</v>
      </c>
      <c r="E64" s="64">
        <v>46087</v>
      </c>
      <c r="F64" s="199">
        <v>0.6875</v>
      </c>
      <c r="G64" s="215" t="s">
        <v>106</v>
      </c>
      <c r="H64" s="206"/>
      <c r="I64" s="179" t="s">
        <v>187</v>
      </c>
      <c r="J64" s="180" t="s">
        <v>189</v>
      </c>
      <c r="K64" s="3">
        <f t="shared" si="35"/>
        <v>6</v>
      </c>
      <c r="L64">
        <f t="shared" si="36"/>
        <v>1</v>
      </c>
      <c r="M64" s="45">
        <f t="shared" si="32"/>
        <v>80</v>
      </c>
      <c r="N64" s="48">
        <f t="shared" si="37"/>
        <v>10</v>
      </c>
      <c r="O64" s="45">
        <f t="shared" si="40"/>
        <v>0</v>
      </c>
      <c r="P64" s="45">
        <f t="shared" si="40"/>
        <v>0</v>
      </c>
      <c r="Q64" s="45">
        <f t="shared" si="40"/>
        <v>0</v>
      </c>
      <c r="R64" s="45">
        <f t="shared" si="40"/>
        <v>0</v>
      </c>
      <c r="S64" s="45">
        <f t="shared" si="40"/>
        <v>0</v>
      </c>
      <c r="T64" s="45">
        <f t="shared" si="40"/>
        <v>0</v>
      </c>
      <c r="U64" s="45">
        <f t="shared" si="40"/>
        <v>0</v>
      </c>
      <c r="V64" s="45">
        <f t="shared" si="40"/>
        <v>0</v>
      </c>
      <c r="W64" s="45">
        <f t="shared" si="40"/>
        <v>0</v>
      </c>
      <c r="X64" s="45">
        <f t="shared" si="40"/>
        <v>0</v>
      </c>
      <c r="Y64" s="45">
        <f t="shared" si="41"/>
        <v>0</v>
      </c>
      <c r="Z64" s="45">
        <f t="shared" si="41"/>
        <v>0</v>
      </c>
      <c r="AA64" s="45">
        <f t="shared" si="41"/>
        <v>0</v>
      </c>
      <c r="AB64" s="45">
        <f t="shared" si="41"/>
        <v>0</v>
      </c>
      <c r="AC64" s="45">
        <f t="shared" si="41"/>
        <v>0</v>
      </c>
      <c r="AD64" s="45">
        <f t="shared" si="41"/>
        <v>70</v>
      </c>
      <c r="AE64" s="45">
        <f t="shared" si="41"/>
        <v>0</v>
      </c>
      <c r="AF64" s="45">
        <f t="shared" si="41"/>
        <v>0</v>
      </c>
      <c r="AG64" s="45">
        <f t="shared" si="41"/>
        <v>0</v>
      </c>
      <c r="AH64" s="45">
        <f t="shared" si="41"/>
        <v>0</v>
      </c>
      <c r="AI64" s="45">
        <f t="shared" si="41"/>
        <v>0</v>
      </c>
      <c r="AJ64" s="45">
        <f t="shared" si="41"/>
        <v>0</v>
      </c>
      <c r="AK64" s="45">
        <f t="shared" si="41"/>
        <v>0</v>
      </c>
      <c r="AL64" s="45">
        <f t="shared" si="41"/>
        <v>0</v>
      </c>
      <c r="AM64" s="45">
        <f t="shared" si="41"/>
        <v>0</v>
      </c>
    </row>
    <row r="65" spans="1:41" s="47" customFormat="1" x14ac:dyDescent="0.25">
      <c r="A65" s="22" t="s">
        <v>197</v>
      </c>
      <c r="B65" s="23" t="s">
        <v>198</v>
      </c>
      <c r="C65" s="29">
        <v>3</v>
      </c>
      <c r="D65" s="24" t="s">
        <v>115</v>
      </c>
      <c r="E65" s="39">
        <v>46087</v>
      </c>
      <c r="F65" s="193">
        <v>0.79166666666666663</v>
      </c>
      <c r="G65" s="213" t="s">
        <v>106</v>
      </c>
      <c r="H65" s="217"/>
      <c r="I65" s="167" t="s">
        <v>187</v>
      </c>
      <c r="J65" s="168" t="s">
        <v>188</v>
      </c>
      <c r="K65" s="318"/>
      <c r="M65" s="45">
        <f t="shared" si="32"/>
        <v>85</v>
      </c>
      <c r="N65" s="48">
        <f t="shared" ref="N65" si="42">IF(H65&lt;&gt;"",20,10)</f>
        <v>10</v>
      </c>
      <c r="O65" s="45">
        <f t="shared" si="40"/>
        <v>0</v>
      </c>
      <c r="P65" s="45">
        <f t="shared" si="40"/>
        <v>0</v>
      </c>
      <c r="Q65" s="45">
        <f t="shared" si="40"/>
        <v>0</v>
      </c>
      <c r="R65" s="45">
        <f t="shared" si="40"/>
        <v>0</v>
      </c>
      <c r="S65" s="45">
        <f t="shared" si="40"/>
        <v>0</v>
      </c>
      <c r="T65" s="45">
        <f t="shared" si="40"/>
        <v>0</v>
      </c>
      <c r="U65" s="45">
        <f t="shared" si="40"/>
        <v>0</v>
      </c>
      <c r="V65" s="45">
        <f t="shared" si="40"/>
        <v>0</v>
      </c>
      <c r="W65" s="45">
        <f t="shared" si="40"/>
        <v>0</v>
      </c>
      <c r="X65" s="45">
        <f t="shared" si="40"/>
        <v>0</v>
      </c>
      <c r="Y65" s="45">
        <f t="shared" si="41"/>
        <v>0</v>
      </c>
      <c r="Z65" s="45">
        <f t="shared" si="41"/>
        <v>0</v>
      </c>
      <c r="AA65" s="45">
        <f t="shared" si="41"/>
        <v>0</v>
      </c>
      <c r="AB65" s="45">
        <f t="shared" si="41"/>
        <v>0</v>
      </c>
      <c r="AC65" s="45">
        <f t="shared" si="41"/>
        <v>0</v>
      </c>
      <c r="AD65" s="45">
        <f t="shared" si="41"/>
        <v>75</v>
      </c>
      <c r="AE65" s="45">
        <f t="shared" si="41"/>
        <v>0</v>
      </c>
      <c r="AF65" s="45">
        <f t="shared" si="41"/>
        <v>0</v>
      </c>
      <c r="AG65" s="45">
        <f t="shared" si="41"/>
        <v>0</v>
      </c>
      <c r="AH65" s="45">
        <f t="shared" si="41"/>
        <v>0</v>
      </c>
      <c r="AI65" s="45">
        <f t="shared" si="41"/>
        <v>0</v>
      </c>
      <c r="AJ65" s="45">
        <f t="shared" si="41"/>
        <v>0</v>
      </c>
      <c r="AK65" s="45">
        <f t="shared" si="41"/>
        <v>0</v>
      </c>
      <c r="AL65" s="45">
        <f t="shared" si="41"/>
        <v>0</v>
      </c>
      <c r="AM65" s="45">
        <f t="shared" si="41"/>
        <v>0</v>
      </c>
    </row>
    <row r="66" spans="1:41" x14ac:dyDescent="0.25">
      <c r="A66" s="16" t="s">
        <v>97</v>
      </c>
      <c r="B66" s="17" t="s">
        <v>94</v>
      </c>
      <c r="C66" s="32">
        <v>3</v>
      </c>
      <c r="D66" s="18" t="s">
        <v>115</v>
      </c>
      <c r="E66" s="42">
        <v>46088</v>
      </c>
      <c r="F66" s="195">
        <v>0.375</v>
      </c>
      <c r="G66" s="216" t="s">
        <v>107</v>
      </c>
      <c r="H66" s="217"/>
      <c r="I66" s="181" t="s">
        <v>186</v>
      </c>
      <c r="J66" s="172" t="s">
        <v>188</v>
      </c>
      <c r="K66" s="3">
        <f t="shared" si="35"/>
        <v>7</v>
      </c>
      <c r="L66">
        <f t="shared" si="36"/>
        <v>1</v>
      </c>
      <c r="M66" s="45">
        <f t="shared" si="32"/>
        <v>85</v>
      </c>
      <c r="N66" s="48">
        <f t="shared" si="37"/>
        <v>10</v>
      </c>
      <c r="O66" s="45">
        <f t="shared" si="40"/>
        <v>0</v>
      </c>
      <c r="P66" s="45">
        <f t="shared" si="40"/>
        <v>0</v>
      </c>
      <c r="Q66" s="45">
        <f t="shared" si="40"/>
        <v>0</v>
      </c>
      <c r="R66" s="45">
        <f t="shared" si="40"/>
        <v>0</v>
      </c>
      <c r="S66" s="45">
        <f t="shared" si="40"/>
        <v>0</v>
      </c>
      <c r="T66" s="45">
        <f t="shared" si="40"/>
        <v>0</v>
      </c>
      <c r="U66" s="45">
        <f t="shared" si="40"/>
        <v>0</v>
      </c>
      <c r="V66" s="45">
        <f t="shared" si="40"/>
        <v>0</v>
      </c>
      <c r="W66" s="45">
        <f t="shared" si="40"/>
        <v>0</v>
      </c>
      <c r="X66" s="45">
        <f t="shared" si="40"/>
        <v>0</v>
      </c>
      <c r="Y66" s="45">
        <f t="shared" si="41"/>
        <v>0</v>
      </c>
      <c r="Z66" s="45">
        <f t="shared" si="41"/>
        <v>0</v>
      </c>
      <c r="AA66" s="45">
        <f t="shared" si="41"/>
        <v>0</v>
      </c>
      <c r="AB66" s="45">
        <f t="shared" si="41"/>
        <v>0</v>
      </c>
      <c r="AC66" s="45">
        <f t="shared" si="41"/>
        <v>0</v>
      </c>
      <c r="AD66" s="45">
        <f t="shared" si="41"/>
        <v>0</v>
      </c>
      <c r="AE66" s="45">
        <f t="shared" si="41"/>
        <v>75</v>
      </c>
      <c r="AF66" s="45">
        <f t="shared" si="41"/>
        <v>0</v>
      </c>
      <c r="AG66" s="45">
        <f t="shared" si="41"/>
        <v>0</v>
      </c>
      <c r="AH66" s="45">
        <f t="shared" si="41"/>
        <v>0</v>
      </c>
      <c r="AI66" s="45">
        <f t="shared" si="41"/>
        <v>0</v>
      </c>
      <c r="AJ66" s="45">
        <f t="shared" si="41"/>
        <v>0</v>
      </c>
      <c r="AK66" s="45">
        <f t="shared" si="41"/>
        <v>0</v>
      </c>
      <c r="AL66" s="45">
        <f t="shared" si="41"/>
        <v>0</v>
      </c>
      <c r="AM66" s="45">
        <f t="shared" si="41"/>
        <v>0</v>
      </c>
    </row>
    <row r="67" spans="1:41" x14ac:dyDescent="0.25">
      <c r="A67" s="81" t="s">
        <v>97</v>
      </c>
      <c r="B67" s="82" t="s">
        <v>94</v>
      </c>
      <c r="C67" s="78">
        <v>3</v>
      </c>
      <c r="D67" s="79" t="s">
        <v>115</v>
      </c>
      <c r="E67" s="41">
        <v>46088</v>
      </c>
      <c r="F67" s="194">
        <v>0.47916666666666669</v>
      </c>
      <c r="G67" s="211" t="s">
        <v>20</v>
      </c>
      <c r="H67" s="211" t="s">
        <v>21</v>
      </c>
      <c r="I67" s="182" t="s">
        <v>186</v>
      </c>
      <c r="J67" s="183" t="s">
        <v>190</v>
      </c>
      <c r="K67" s="3">
        <f t="shared" si="35"/>
        <v>7</v>
      </c>
      <c r="L67" t="str">
        <f t="shared" si="36"/>
        <v/>
      </c>
      <c r="M67" s="45">
        <f t="shared" si="32"/>
        <v>165</v>
      </c>
      <c r="N67" s="48">
        <f t="shared" si="37"/>
        <v>20</v>
      </c>
      <c r="O67" s="45">
        <f t="shared" si="40"/>
        <v>0</v>
      </c>
      <c r="P67" s="45">
        <f t="shared" si="40"/>
        <v>0</v>
      </c>
      <c r="Q67" s="45">
        <f t="shared" si="40"/>
        <v>0</v>
      </c>
      <c r="R67" s="45">
        <f t="shared" si="40"/>
        <v>0</v>
      </c>
      <c r="S67" s="45">
        <f t="shared" si="40"/>
        <v>75</v>
      </c>
      <c r="T67" s="45">
        <f t="shared" si="40"/>
        <v>0</v>
      </c>
      <c r="U67" s="45">
        <f t="shared" si="40"/>
        <v>0</v>
      </c>
      <c r="V67" s="45">
        <f t="shared" si="40"/>
        <v>70</v>
      </c>
      <c r="W67" s="45">
        <f t="shared" si="40"/>
        <v>0</v>
      </c>
      <c r="X67" s="45">
        <f t="shared" si="40"/>
        <v>0</v>
      </c>
      <c r="Y67" s="45">
        <f t="shared" si="41"/>
        <v>0</v>
      </c>
      <c r="Z67" s="45">
        <f t="shared" si="41"/>
        <v>0</v>
      </c>
      <c r="AA67" s="45">
        <f t="shared" si="41"/>
        <v>0</v>
      </c>
      <c r="AB67" s="45">
        <f t="shared" si="41"/>
        <v>0</v>
      </c>
      <c r="AC67" s="45">
        <f t="shared" si="41"/>
        <v>0</v>
      </c>
      <c r="AD67" s="45">
        <f t="shared" si="41"/>
        <v>0</v>
      </c>
      <c r="AE67" s="45">
        <f t="shared" si="41"/>
        <v>0</v>
      </c>
      <c r="AF67" s="45">
        <f t="shared" si="41"/>
        <v>0</v>
      </c>
      <c r="AG67" s="45">
        <f t="shared" si="41"/>
        <v>0</v>
      </c>
      <c r="AH67" s="45">
        <f t="shared" si="41"/>
        <v>0</v>
      </c>
      <c r="AI67" s="45">
        <f t="shared" si="41"/>
        <v>0</v>
      </c>
      <c r="AJ67" s="45">
        <f t="shared" si="41"/>
        <v>0</v>
      </c>
      <c r="AK67" s="45">
        <f t="shared" si="41"/>
        <v>0</v>
      </c>
      <c r="AL67" s="45">
        <f t="shared" si="41"/>
        <v>0</v>
      </c>
      <c r="AM67" s="45">
        <f t="shared" si="41"/>
        <v>0</v>
      </c>
    </row>
    <row r="68" spans="1:41" x14ac:dyDescent="0.25">
      <c r="A68" s="81" t="s">
        <v>93</v>
      </c>
      <c r="B68" s="82" t="s">
        <v>89</v>
      </c>
      <c r="C68" s="78">
        <v>3</v>
      </c>
      <c r="D68" s="79" t="s">
        <v>115</v>
      </c>
      <c r="E68" s="41">
        <v>46088</v>
      </c>
      <c r="F68" s="194">
        <v>0.58333333333333337</v>
      </c>
      <c r="G68" s="218" t="s">
        <v>22</v>
      </c>
      <c r="H68" s="211" t="s">
        <v>18</v>
      </c>
      <c r="I68" s="184" t="s">
        <v>186</v>
      </c>
      <c r="J68" s="185" t="s">
        <v>190</v>
      </c>
      <c r="K68" s="3">
        <f t="shared" si="35"/>
        <v>7</v>
      </c>
      <c r="L68" t="str">
        <f t="shared" si="36"/>
        <v/>
      </c>
      <c r="M68" s="45">
        <f t="shared" si="32"/>
        <v>165</v>
      </c>
      <c r="N68" s="48">
        <f t="shared" si="37"/>
        <v>20</v>
      </c>
      <c r="O68" s="45">
        <f t="shared" si="40"/>
        <v>0</v>
      </c>
      <c r="P68" s="45">
        <f t="shared" si="40"/>
        <v>70</v>
      </c>
      <c r="Q68" s="45">
        <f t="shared" si="40"/>
        <v>75</v>
      </c>
      <c r="R68" s="45">
        <f t="shared" si="40"/>
        <v>0</v>
      </c>
      <c r="S68" s="45">
        <f t="shared" si="40"/>
        <v>0</v>
      </c>
      <c r="T68" s="45">
        <f t="shared" si="40"/>
        <v>0</v>
      </c>
      <c r="U68" s="45">
        <f t="shared" si="40"/>
        <v>0</v>
      </c>
      <c r="V68" s="45">
        <f t="shared" si="40"/>
        <v>0</v>
      </c>
      <c r="W68" s="45">
        <f t="shared" si="40"/>
        <v>0</v>
      </c>
      <c r="X68" s="45">
        <f t="shared" si="40"/>
        <v>0</v>
      </c>
      <c r="Y68" s="45">
        <f t="shared" si="41"/>
        <v>0</v>
      </c>
      <c r="Z68" s="45">
        <f t="shared" si="41"/>
        <v>0</v>
      </c>
      <c r="AA68" s="45">
        <f t="shared" si="41"/>
        <v>0</v>
      </c>
      <c r="AB68" s="45">
        <f t="shared" si="41"/>
        <v>0</v>
      </c>
      <c r="AC68" s="45">
        <f t="shared" si="41"/>
        <v>0</v>
      </c>
      <c r="AD68" s="45">
        <f t="shared" si="41"/>
        <v>0</v>
      </c>
      <c r="AE68" s="45">
        <f t="shared" si="41"/>
        <v>0</v>
      </c>
      <c r="AF68" s="45">
        <f t="shared" si="41"/>
        <v>0</v>
      </c>
      <c r="AG68" s="45">
        <f t="shared" si="41"/>
        <v>0</v>
      </c>
      <c r="AH68" s="45">
        <f t="shared" si="41"/>
        <v>0</v>
      </c>
      <c r="AI68" s="45">
        <f t="shared" si="41"/>
        <v>0</v>
      </c>
      <c r="AJ68" s="45">
        <f t="shared" si="41"/>
        <v>0</v>
      </c>
      <c r="AK68" s="45">
        <f t="shared" si="41"/>
        <v>0</v>
      </c>
      <c r="AL68" s="45">
        <f t="shared" si="41"/>
        <v>0</v>
      </c>
      <c r="AM68" s="45">
        <f t="shared" si="41"/>
        <v>0</v>
      </c>
    </row>
    <row r="69" spans="1:41" x14ac:dyDescent="0.25">
      <c r="A69" s="81" t="s">
        <v>96</v>
      </c>
      <c r="B69" s="82" t="s">
        <v>92</v>
      </c>
      <c r="C69" s="78">
        <v>3</v>
      </c>
      <c r="D69" s="79" t="s">
        <v>115</v>
      </c>
      <c r="E69" s="41">
        <v>46088</v>
      </c>
      <c r="F69" s="194">
        <v>0.6875</v>
      </c>
      <c r="G69" s="218" t="s">
        <v>18</v>
      </c>
      <c r="H69" s="211" t="s">
        <v>22</v>
      </c>
      <c r="I69" s="186" t="s">
        <v>186</v>
      </c>
      <c r="J69" s="183" t="s">
        <v>190</v>
      </c>
      <c r="K69" s="3">
        <f t="shared" si="35"/>
        <v>7</v>
      </c>
      <c r="L69" t="str">
        <f t="shared" si="36"/>
        <v/>
      </c>
      <c r="M69" s="45">
        <f t="shared" si="32"/>
        <v>165</v>
      </c>
      <c r="N69" s="48">
        <f t="shared" si="37"/>
        <v>20</v>
      </c>
      <c r="O69" s="45">
        <f t="shared" si="40"/>
        <v>0</v>
      </c>
      <c r="P69" s="45">
        <f t="shared" si="40"/>
        <v>75</v>
      </c>
      <c r="Q69" s="45">
        <f t="shared" si="40"/>
        <v>70</v>
      </c>
      <c r="R69" s="45">
        <f t="shared" si="40"/>
        <v>0</v>
      </c>
      <c r="S69" s="45">
        <f t="shared" si="40"/>
        <v>0</v>
      </c>
      <c r="T69" s="45">
        <f t="shared" si="40"/>
        <v>0</v>
      </c>
      <c r="U69" s="45">
        <f t="shared" si="40"/>
        <v>0</v>
      </c>
      <c r="V69" s="45">
        <f t="shared" si="40"/>
        <v>0</v>
      </c>
      <c r="W69" s="45">
        <f t="shared" si="40"/>
        <v>0</v>
      </c>
      <c r="X69" s="45">
        <f t="shared" si="40"/>
        <v>0</v>
      </c>
      <c r="Y69" s="45">
        <f t="shared" si="41"/>
        <v>0</v>
      </c>
      <c r="Z69" s="45">
        <f t="shared" si="41"/>
        <v>0</v>
      </c>
      <c r="AA69" s="45">
        <f t="shared" si="41"/>
        <v>0</v>
      </c>
      <c r="AB69" s="45">
        <f t="shared" si="41"/>
        <v>0</v>
      </c>
      <c r="AC69" s="45">
        <f t="shared" si="41"/>
        <v>0</v>
      </c>
      <c r="AD69" s="45">
        <f t="shared" si="41"/>
        <v>0</v>
      </c>
      <c r="AE69" s="45">
        <f t="shared" si="41"/>
        <v>0</v>
      </c>
      <c r="AF69" s="45">
        <f t="shared" si="41"/>
        <v>0</v>
      </c>
      <c r="AG69" s="45">
        <f t="shared" si="41"/>
        <v>0</v>
      </c>
      <c r="AH69" s="45">
        <f t="shared" si="41"/>
        <v>0</v>
      </c>
      <c r="AI69" s="45">
        <f t="shared" si="41"/>
        <v>0</v>
      </c>
      <c r="AJ69" s="45">
        <f t="shared" si="41"/>
        <v>0</v>
      </c>
      <c r="AK69" s="45">
        <f t="shared" si="41"/>
        <v>0</v>
      </c>
      <c r="AL69" s="45">
        <f t="shared" si="41"/>
        <v>0</v>
      </c>
      <c r="AM69" s="45">
        <f t="shared" si="41"/>
        <v>0</v>
      </c>
    </row>
    <row r="70" spans="1:41" x14ac:dyDescent="0.25">
      <c r="A70" s="16" t="s">
        <v>98</v>
      </c>
      <c r="B70" s="17" t="s">
        <v>89</v>
      </c>
      <c r="C70" s="32">
        <v>3</v>
      </c>
      <c r="D70" s="18" t="s">
        <v>115</v>
      </c>
      <c r="E70" s="42">
        <v>46088</v>
      </c>
      <c r="F70" s="195">
        <v>0.375</v>
      </c>
      <c r="G70" s="209" t="s">
        <v>19</v>
      </c>
      <c r="H70" s="217"/>
      <c r="I70" s="171" t="s">
        <v>187</v>
      </c>
      <c r="J70" s="172" t="s">
        <v>188</v>
      </c>
      <c r="K70" s="3">
        <f>WEEKDAY(E70)</f>
        <v>7</v>
      </c>
      <c r="L70">
        <f>IF(G70=L$1,1,IF(H70=L$1,1,""))</f>
        <v>1</v>
      </c>
      <c r="M70" s="45">
        <f t="shared" si="32"/>
        <v>85</v>
      </c>
      <c r="N70" s="48">
        <f>IF(H70&lt;&gt;"",20,10)</f>
        <v>10</v>
      </c>
      <c r="O70" s="45">
        <f t="shared" si="40"/>
        <v>75</v>
      </c>
      <c r="P70" s="45">
        <f t="shared" si="40"/>
        <v>0</v>
      </c>
      <c r="Q70" s="45">
        <f t="shared" si="40"/>
        <v>0</v>
      </c>
      <c r="R70" s="45">
        <f t="shared" si="40"/>
        <v>0</v>
      </c>
      <c r="S70" s="45">
        <f t="shared" si="40"/>
        <v>0</v>
      </c>
      <c r="T70" s="45">
        <f t="shared" si="40"/>
        <v>0</v>
      </c>
      <c r="U70" s="45">
        <f t="shared" si="40"/>
        <v>0</v>
      </c>
      <c r="V70" s="45">
        <f t="shared" si="40"/>
        <v>0</v>
      </c>
      <c r="W70" s="45">
        <f t="shared" si="40"/>
        <v>0</v>
      </c>
      <c r="X70" s="45">
        <f t="shared" si="40"/>
        <v>0</v>
      </c>
      <c r="Y70" s="45">
        <f t="shared" si="41"/>
        <v>0</v>
      </c>
      <c r="Z70" s="45">
        <f t="shared" si="41"/>
        <v>0</v>
      </c>
      <c r="AA70" s="45">
        <f t="shared" si="41"/>
        <v>0</v>
      </c>
      <c r="AB70" s="45">
        <f t="shared" si="41"/>
        <v>0</v>
      </c>
      <c r="AC70" s="45">
        <f t="shared" si="41"/>
        <v>0</v>
      </c>
      <c r="AD70" s="45">
        <f t="shared" si="41"/>
        <v>0</v>
      </c>
      <c r="AE70" s="45">
        <f t="shared" si="41"/>
        <v>0</v>
      </c>
      <c r="AF70" s="45">
        <f t="shared" si="41"/>
        <v>0</v>
      </c>
      <c r="AG70" s="45">
        <f t="shared" si="41"/>
        <v>0</v>
      </c>
      <c r="AH70" s="45">
        <f t="shared" si="41"/>
        <v>0</v>
      </c>
      <c r="AI70" s="45">
        <f t="shared" si="41"/>
        <v>0</v>
      </c>
      <c r="AJ70" s="45">
        <f t="shared" si="41"/>
        <v>0</v>
      </c>
      <c r="AK70" s="45">
        <f t="shared" si="41"/>
        <v>0</v>
      </c>
      <c r="AL70" s="45">
        <f t="shared" si="41"/>
        <v>0</v>
      </c>
      <c r="AM70" s="45">
        <f t="shared" si="41"/>
        <v>0</v>
      </c>
    </row>
    <row r="71" spans="1:41" x14ac:dyDescent="0.25">
      <c r="A71" s="16" t="s">
        <v>92</v>
      </c>
      <c r="B71" s="17" t="s">
        <v>90</v>
      </c>
      <c r="C71" s="32">
        <v>3</v>
      </c>
      <c r="D71" s="18" t="s">
        <v>115</v>
      </c>
      <c r="E71" s="42">
        <v>46088</v>
      </c>
      <c r="F71" s="195">
        <v>0.47916666666666669</v>
      </c>
      <c r="G71" s="209" t="s">
        <v>19</v>
      </c>
      <c r="H71" s="217"/>
      <c r="I71" s="171" t="s">
        <v>187</v>
      </c>
      <c r="J71" s="172" t="s">
        <v>188</v>
      </c>
      <c r="K71" s="3">
        <f>WEEKDAY(E71)</f>
        <v>7</v>
      </c>
      <c r="L71">
        <f>IF(G71=L$1,1,IF(H71=L$1,1,""))</f>
        <v>1</v>
      </c>
      <c r="M71" s="45">
        <f t="shared" si="32"/>
        <v>85</v>
      </c>
      <c r="N71" s="48">
        <f>IF(H71&lt;&gt;"",20,10)</f>
        <v>10</v>
      </c>
      <c r="O71" s="45">
        <f t="shared" ref="O71:X79" si="43">IF($G71=O$1,VLOOKUP($J71,$AP:$AQ,2,FALSE),IF($H71=O$1,70,0))</f>
        <v>75</v>
      </c>
      <c r="P71" s="45">
        <f t="shared" si="43"/>
        <v>0</v>
      </c>
      <c r="Q71" s="45">
        <f t="shared" si="43"/>
        <v>0</v>
      </c>
      <c r="R71" s="45">
        <f t="shared" si="43"/>
        <v>0</v>
      </c>
      <c r="S71" s="45">
        <f t="shared" si="43"/>
        <v>0</v>
      </c>
      <c r="T71" s="45">
        <f t="shared" si="43"/>
        <v>0</v>
      </c>
      <c r="U71" s="45">
        <f t="shared" si="43"/>
        <v>0</v>
      </c>
      <c r="V71" s="45">
        <f t="shared" si="43"/>
        <v>0</v>
      </c>
      <c r="W71" s="45">
        <f t="shared" si="43"/>
        <v>0</v>
      </c>
      <c r="X71" s="45">
        <f t="shared" si="43"/>
        <v>0</v>
      </c>
      <c r="Y71" s="45">
        <f t="shared" ref="Y71:AM79" si="44">IF($G71=Y$1,VLOOKUP($J71,$AP:$AQ,2,FALSE),IF($H71=Y$1,70,0))</f>
        <v>0</v>
      </c>
      <c r="Z71" s="45">
        <f t="shared" si="44"/>
        <v>0</v>
      </c>
      <c r="AA71" s="45">
        <f t="shared" si="44"/>
        <v>0</v>
      </c>
      <c r="AB71" s="45">
        <f t="shared" si="44"/>
        <v>0</v>
      </c>
      <c r="AC71" s="45">
        <f t="shared" si="44"/>
        <v>0</v>
      </c>
      <c r="AD71" s="45">
        <f t="shared" si="44"/>
        <v>0</v>
      </c>
      <c r="AE71" s="45">
        <f t="shared" si="44"/>
        <v>0</v>
      </c>
      <c r="AF71" s="45">
        <f t="shared" si="44"/>
        <v>0</v>
      </c>
      <c r="AG71" s="45">
        <f t="shared" si="44"/>
        <v>0</v>
      </c>
      <c r="AH71" s="45">
        <f t="shared" si="44"/>
        <v>0</v>
      </c>
      <c r="AI71" s="45">
        <f t="shared" si="44"/>
        <v>0</v>
      </c>
      <c r="AJ71" s="45">
        <f t="shared" si="44"/>
        <v>0</v>
      </c>
      <c r="AK71" s="45">
        <f t="shared" si="44"/>
        <v>0</v>
      </c>
      <c r="AL71" s="45">
        <f t="shared" si="44"/>
        <v>0</v>
      </c>
      <c r="AM71" s="45">
        <f t="shared" si="44"/>
        <v>0</v>
      </c>
    </row>
    <row r="72" spans="1:41" x14ac:dyDescent="0.25">
      <c r="A72" s="65" t="s">
        <v>99</v>
      </c>
      <c r="B72" s="66" t="s">
        <v>96</v>
      </c>
      <c r="C72" s="67">
        <v>3</v>
      </c>
      <c r="D72" s="68" t="s">
        <v>115</v>
      </c>
      <c r="E72" s="69">
        <v>46088</v>
      </c>
      <c r="F72" s="200">
        <v>0.58333333333333337</v>
      </c>
      <c r="G72" s="219" t="s">
        <v>20</v>
      </c>
      <c r="H72" s="220"/>
      <c r="I72" s="171" t="s">
        <v>187</v>
      </c>
      <c r="J72" s="172" t="s">
        <v>188</v>
      </c>
      <c r="K72" s="3">
        <f>WEEKDAY(E72)</f>
        <v>7</v>
      </c>
      <c r="L72">
        <f>IF(G72=L$1,1,IF(H72=L$1,1,""))</f>
        <v>1</v>
      </c>
      <c r="M72" s="45">
        <f t="shared" si="32"/>
        <v>85</v>
      </c>
      <c r="N72" s="48">
        <f>IF(H72&lt;&gt;"",20,10)</f>
        <v>10</v>
      </c>
      <c r="O72" s="45">
        <f t="shared" si="43"/>
        <v>0</v>
      </c>
      <c r="P72" s="45">
        <f t="shared" si="43"/>
        <v>0</v>
      </c>
      <c r="Q72" s="45">
        <f t="shared" si="43"/>
        <v>0</v>
      </c>
      <c r="R72" s="45">
        <f t="shared" si="43"/>
        <v>0</v>
      </c>
      <c r="S72" s="45">
        <f t="shared" si="43"/>
        <v>75</v>
      </c>
      <c r="T72" s="45">
        <f t="shared" si="43"/>
        <v>0</v>
      </c>
      <c r="U72" s="45">
        <f t="shared" si="43"/>
        <v>0</v>
      </c>
      <c r="V72" s="45">
        <f t="shared" si="43"/>
        <v>0</v>
      </c>
      <c r="W72" s="45">
        <f t="shared" si="43"/>
        <v>0</v>
      </c>
      <c r="X72" s="45">
        <f t="shared" si="43"/>
        <v>0</v>
      </c>
      <c r="Y72" s="45">
        <f t="shared" si="44"/>
        <v>0</v>
      </c>
      <c r="Z72" s="45">
        <f t="shared" si="44"/>
        <v>0</v>
      </c>
      <c r="AA72" s="45">
        <f t="shared" si="44"/>
        <v>0</v>
      </c>
      <c r="AB72" s="45">
        <f t="shared" si="44"/>
        <v>0</v>
      </c>
      <c r="AC72" s="45">
        <f t="shared" si="44"/>
        <v>0</v>
      </c>
      <c r="AD72" s="45">
        <f t="shared" si="44"/>
        <v>0</v>
      </c>
      <c r="AE72" s="45">
        <f t="shared" si="44"/>
        <v>0</v>
      </c>
      <c r="AF72" s="45">
        <f t="shared" si="44"/>
        <v>0</v>
      </c>
      <c r="AG72" s="45">
        <f t="shared" si="44"/>
        <v>0</v>
      </c>
      <c r="AH72" s="45">
        <f t="shared" si="44"/>
        <v>0</v>
      </c>
      <c r="AI72" s="45">
        <f t="shared" si="44"/>
        <v>0</v>
      </c>
      <c r="AJ72" s="45">
        <f t="shared" si="44"/>
        <v>0</v>
      </c>
      <c r="AK72" s="45">
        <f t="shared" si="44"/>
        <v>0</v>
      </c>
      <c r="AL72" s="45">
        <f t="shared" si="44"/>
        <v>0</v>
      </c>
      <c r="AM72" s="45">
        <f t="shared" si="44"/>
        <v>0</v>
      </c>
    </row>
    <row r="73" spans="1:41" x14ac:dyDescent="0.25">
      <c r="A73" s="16" t="s">
        <v>93</v>
      </c>
      <c r="B73" s="17" t="s">
        <v>95</v>
      </c>
      <c r="C73" s="32">
        <v>3</v>
      </c>
      <c r="D73" s="18" t="s">
        <v>115</v>
      </c>
      <c r="E73" s="42">
        <v>46088</v>
      </c>
      <c r="F73" s="195">
        <v>0.6875</v>
      </c>
      <c r="G73" s="209" t="s">
        <v>73</v>
      </c>
      <c r="H73" s="217"/>
      <c r="I73" s="171" t="s">
        <v>187</v>
      </c>
      <c r="J73" s="172" t="s">
        <v>188</v>
      </c>
      <c r="K73" s="3">
        <f>WEEKDAY(E73)</f>
        <v>7</v>
      </c>
      <c r="L73">
        <f>IF(G73=L$1,1,IF(H73=L$1,1,""))</f>
        <v>1</v>
      </c>
      <c r="M73" s="45">
        <f t="shared" si="32"/>
        <v>85</v>
      </c>
      <c r="N73" s="48">
        <f>IF(H73&lt;&gt;"",20,10)</f>
        <v>10</v>
      </c>
      <c r="O73" s="45">
        <f t="shared" si="43"/>
        <v>0</v>
      </c>
      <c r="P73" s="45">
        <f t="shared" si="43"/>
        <v>0</v>
      </c>
      <c r="Q73" s="45">
        <f t="shared" si="43"/>
        <v>0</v>
      </c>
      <c r="R73" s="45">
        <f t="shared" si="43"/>
        <v>0</v>
      </c>
      <c r="S73" s="45">
        <f t="shared" si="43"/>
        <v>0</v>
      </c>
      <c r="T73" s="45">
        <f t="shared" si="43"/>
        <v>0</v>
      </c>
      <c r="U73" s="45">
        <f t="shared" si="43"/>
        <v>75</v>
      </c>
      <c r="V73" s="45">
        <f t="shared" si="43"/>
        <v>0</v>
      </c>
      <c r="W73" s="45">
        <f t="shared" si="43"/>
        <v>0</v>
      </c>
      <c r="X73" s="45">
        <f t="shared" si="43"/>
        <v>0</v>
      </c>
      <c r="Y73" s="45">
        <f t="shared" si="44"/>
        <v>0</v>
      </c>
      <c r="Z73" s="45">
        <f t="shared" si="44"/>
        <v>0</v>
      </c>
      <c r="AA73" s="45">
        <f t="shared" si="44"/>
        <v>0</v>
      </c>
      <c r="AB73" s="45">
        <f t="shared" si="44"/>
        <v>0</v>
      </c>
      <c r="AC73" s="45">
        <f t="shared" si="44"/>
        <v>0</v>
      </c>
      <c r="AD73" s="45">
        <f t="shared" si="44"/>
        <v>0</v>
      </c>
      <c r="AE73" s="45">
        <f t="shared" si="44"/>
        <v>0</v>
      </c>
      <c r="AF73" s="45">
        <f t="shared" si="44"/>
        <v>0</v>
      </c>
      <c r="AG73" s="45">
        <f t="shared" si="44"/>
        <v>0</v>
      </c>
      <c r="AH73" s="45">
        <f t="shared" si="44"/>
        <v>0</v>
      </c>
      <c r="AI73" s="45">
        <f t="shared" si="44"/>
        <v>0</v>
      </c>
      <c r="AJ73" s="45">
        <f t="shared" si="44"/>
        <v>0</v>
      </c>
      <c r="AK73" s="45">
        <f t="shared" si="44"/>
        <v>0</v>
      </c>
      <c r="AL73" s="45">
        <f t="shared" si="44"/>
        <v>0</v>
      </c>
      <c r="AM73" s="45">
        <f t="shared" si="44"/>
        <v>0</v>
      </c>
    </row>
    <row r="74" spans="1:41" x14ac:dyDescent="0.25">
      <c r="A74" s="7" t="s">
        <v>94</v>
      </c>
      <c r="B74" s="8" t="s">
        <v>95</v>
      </c>
      <c r="C74" s="28">
        <v>3</v>
      </c>
      <c r="D74" s="9" t="s">
        <v>115</v>
      </c>
      <c r="E74" s="37">
        <v>46089</v>
      </c>
      <c r="F74" s="196">
        <v>0.375</v>
      </c>
      <c r="G74" s="210" t="s">
        <v>107</v>
      </c>
      <c r="H74" s="206"/>
      <c r="I74" s="173" t="s">
        <v>186</v>
      </c>
      <c r="J74" s="174" t="s">
        <v>189</v>
      </c>
      <c r="K74" s="3">
        <f t="shared" ref="K74:K79" si="45">WEEKDAY(E74)</f>
        <v>1</v>
      </c>
      <c r="L74">
        <f t="shared" ref="L74:L79" si="46">IF(G74=L$1,1,IF(H74=L$1,1,""))</f>
        <v>1</v>
      </c>
      <c r="M74" s="45">
        <f t="shared" si="32"/>
        <v>80</v>
      </c>
      <c r="N74" s="48">
        <f t="shared" ref="N74:N79" si="47">IF(H74&lt;&gt;"",20,10)</f>
        <v>10</v>
      </c>
      <c r="O74" s="45">
        <f t="shared" si="43"/>
        <v>0</v>
      </c>
      <c r="P74" s="45">
        <f t="shared" si="43"/>
        <v>0</v>
      </c>
      <c r="Q74" s="45">
        <f t="shared" si="43"/>
        <v>0</v>
      </c>
      <c r="R74" s="45">
        <f t="shared" si="43"/>
        <v>0</v>
      </c>
      <c r="S74" s="45">
        <f t="shared" si="43"/>
        <v>0</v>
      </c>
      <c r="T74" s="45">
        <f t="shared" si="43"/>
        <v>0</v>
      </c>
      <c r="U74" s="45">
        <f t="shared" si="43"/>
        <v>0</v>
      </c>
      <c r="V74" s="45">
        <f t="shared" si="43"/>
        <v>0</v>
      </c>
      <c r="W74" s="45">
        <f t="shared" si="43"/>
        <v>0</v>
      </c>
      <c r="X74" s="45">
        <f t="shared" si="43"/>
        <v>0</v>
      </c>
      <c r="Y74" s="45">
        <f t="shared" si="44"/>
        <v>0</v>
      </c>
      <c r="Z74" s="45">
        <f t="shared" si="44"/>
        <v>0</v>
      </c>
      <c r="AA74" s="45">
        <f t="shared" si="44"/>
        <v>0</v>
      </c>
      <c r="AB74" s="45">
        <f t="shared" si="44"/>
        <v>0</v>
      </c>
      <c r="AC74" s="45">
        <f t="shared" si="44"/>
        <v>0</v>
      </c>
      <c r="AD74" s="45">
        <f t="shared" si="44"/>
        <v>0</v>
      </c>
      <c r="AE74" s="45">
        <f t="shared" si="44"/>
        <v>70</v>
      </c>
      <c r="AF74" s="45">
        <f t="shared" si="44"/>
        <v>0</v>
      </c>
      <c r="AG74" s="45">
        <f t="shared" si="44"/>
        <v>0</v>
      </c>
      <c r="AH74" s="45">
        <f t="shared" si="44"/>
        <v>0</v>
      </c>
      <c r="AI74" s="45">
        <f t="shared" si="44"/>
        <v>0</v>
      </c>
      <c r="AJ74" s="45">
        <f t="shared" si="44"/>
        <v>0</v>
      </c>
      <c r="AK74" s="45">
        <f t="shared" si="44"/>
        <v>0</v>
      </c>
      <c r="AL74" s="45">
        <f t="shared" si="44"/>
        <v>0</v>
      </c>
      <c r="AM74" s="45">
        <f t="shared" si="44"/>
        <v>0</v>
      </c>
    </row>
    <row r="75" spans="1:41" x14ac:dyDescent="0.25">
      <c r="A75" s="7" t="s">
        <v>93</v>
      </c>
      <c r="B75" s="8" t="s">
        <v>89</v>
      </c>
      <c r="C75" s="28">
        <v>3</v>
      </c>
      <c r="D75" s="9" t="s">
        <v>115</v>
      </c>
      <c r="E75" s="37">
        <v>46089</v>
      </c>
      <c r="F75" s="196">
        <v>0.47916666666666669</v>
      </c>
      <c r="G75" s="210" t="s">
        <v>107</v>
      </c>
      <c r="H75" s="206"/>
      <c r="I75" s="173" t="s">
        <v>186</v>
      </c>
      <c r="J75" s="174" t="s">
        <v>189</v>
      </c>
      <c r="K75" s="3">
        <f t="shared" si="45"/>
        <v>1</v>
      </c>
      <c r="L75">
        <f t="shared" si="46"/>
        <v>1</v>
      </c>
      <c r="M75" s="45">
        <f t="shared" si="32"/>
        <v>80</v>
      </c>
      <c r="N75" s="48">
        <f t="shared" si="47"/>
        <v>10</v>
      </c>
      <c r="O75" s="45">
        <f t="shared" si="43"/>
        <v>0</v>
      </c>
      <c r="P75" s="45">
        <f t="shared" si="43"/>
        <v>0</v>
      </c>
      <c r="Q75" s="45">
        <f t="shared" si="43"/>
        <v>0</v>
      </c>
      <c r="R75" s="45">
        <f t="shared" si="43"/>
        <v>0</v>
      </c>
      <c r="S75" s="45">
        <f t="shared" si="43"/>
        <v>0</v>
      </c>
      <c r="T75" s="45">
        <f t="shared" si="43"/>
        <v>0</v>
      </c>
      <c r="U75" s="45">
        <f t="shared" si="43"/>
        <v>0</v>
      </c>
      <c r="V75" s="45">
        <f t="shared" si="43"/>
        <v>0</v>
      </c>
      <c r="W75" s="45">
        <f t="shared" si="43"/>
        <v>0</v>
      </c>
      <c r="X75" s="45">
        <f t="shared" si="43"/>
        <v>0</v>
      </c>
      <c r="Y75" s="45">
        <f t="shared" si="44"/>
        <v>0</v>
      </c>
      <c r="Z75" s="45">
        <f t="shared" si="44"/>
        <v>0</v>
      </c>
      <c r="AA75" s="45">
        <f t="shared" si="44"/>
        <v>0</v>
      </c>
      <c r="AB75" s="45">
        <f t="shared" si="44"/>
        <v>0</v>
      </c>
      <c r="AC75" s="45">
        <f t="shared" si="44"/>
        <v>0</v>
      </c>
      <c r="AD75" s="45">
        <f t="shared" si="44"/>
        <v>0</v>
      </c>
      <c r="AE75" s="45">
        <f t="shared" si="44"/>
        <v>70</v>
      </c>
      <c r="AF75" s="45">
        <f t="shared" si="44"/>
        <v>0</v>
      </c>
      <c r="AG75" s="45">
        <f t="shared" si="44"/>
        <v>0</v>
      </c>
      <c r="AH75" s="45">
        <f t="shared" si="44"/>
        <v>0</v>
      </c>
      <c r="AI75" s="45">
        <f t="shared" si="44"/>
        <v>0</v>
      </c>
      <c r="AJ75" s="45">
        <f t="shared" si="44"/>
        <v>0</v>
      </c>
      <c r="AK75" s="45">
        <f t="shared" si="44"/>
        <v>0</v>
      </c>
      <c r="AL75" s="45">
        <f t="shared" si="44"/>
        <v>0</v>
      </c>
      <c r="AM75" s="45">
        <f t="shared" si="44"/>
        <v>0</v>
      </c>
    </row>
    <row r="76" spans="1:41" x14ac:dyDescent="0.25">
      <c r="A76" s="7" t="s">
        <v>90</v>
      </c>
      <c r="B76" s="8" t="s">
        <v>92</v>
      </c>
      <c r="C76" s="28">
        <v>3</v>
      </c>
      <c r="D76" s="9" t="s">
        <v>115</v>
      </c>
      <c r="E76" s="37">
        <v>46089</v>
      </c>
      <c r="F76" s="196">
        <v>0.58333333333333337</v>
      </c>
      <c r="G76" s="210" t="s">
        <v>108</v>
      </c>
      <c r="H76" s="206"/>
      <c r="I76" s="173" t="s">
        <v>186</v>
      </c>
      <c r="J76" s="174" t="s">
        <v>189</v>
      </c>
      <c r="K76" s="3">
        <f t="shared" si="45"/>
        <v>1</v>
      </c>
      <c r="L76">
        <f t="shared" si="46"/>
        <v>1</v>
      </c>
      <c r="M76" s="45">
        <f t="shared" si="32"/>
        <v>80</v>
      </c>
      <c r="N76" s="48">
        <f t="shared" si="47"/>
        <v>10</v>
      </c>
      <c r="O76" s="45">
        <f t="shared" si="43"/>
        <v>0</v>
      </c>
      <c r="P76" s="45">
        <f t="shared" si="43"/>
        <v>0</v>
      </c>
      <c r="Q76" s="45">
        <f t="shared" si="43"/>
        <v>0</v>
      </c>
      <c r="R76" s="45">
        <f t="shared" si="43"/>
        <v>0</v>
      </c>
      <c r="S76" s="45">
        <f t="shared" si="43"/>
        <v>0</v>
      </c>
      <c r="T76" s="45">
        <f t="shared" si="43"/>
        <v>0</v>
      </c>
      <c r="U76" s="45">
        <f t="shared" si="43"/>
        <v>0</v>
      </c>
      <c r="V76" s="45">
        <f t="shared" si="43"/>
        <v>0</v>
      </c>
      <c r="W76" s="45">
        <f t="shared" si="43"/>
        <v>0</v>
      </c>
      <c r="X76" s="45">
        <f t="shared" si="43"/>
        <v>0</v>
      </c>
      <c r="Y76" s="45">
        <f t="shared" si="44"/>
        <v>0</v>
      </c>
      <c r="Z76" s="45">
        <f t="shared" si="44"/>
        <v>0</v>
      </c>
      <c r="AA76" s="45">
        <f t="shared" si="44"/>
        <v>0</v>
      </c>
      <c r="AB76" s="45">
        <f t="shared" si="44"/>
        <v>0</v>
      </c>
      <c r="AC76" s="45">
        <f t="shared" si="44"/>
        <v>0</v>
      </c>
      <c r="AD76" s="45">
        <f t="shared" si="44"/>
        <v>0</v>
      </c>
      <c r="AE76" s="45">
        <f t="shared" si="44"/>
        <v>0</v>
      </c>
      <c r="AF76" s="45">
        <f t="shared" si="44"/>
        <v>70</v>
      </c>
      <c r="AG76" s="45">
        <f t="shared" si="44"/>
        <v>0</v>
      </c>
      <c r="AH76" s="45">
        <f t="shared" si="44"/>
        <v>0</v>
      </c>
      <c r="AI76" s="45">
        <f t="shared" si="44"/>
        <v>0</v>
      </c>
      <c r="AJ76" s="45">
        <f t="shared" si="44"/>
        <v>0</v>
      </c>
      <c r="AK76" s="45">
        <f t="shared" si="44"/>
        <v>0</v>
      </c>
      <c r="AL76" s="45">
        <f t="shared" si="44"/>
        <v>0</v>
      </c>
      <c r="AM76" s="45">
        <f t="shared" si="44"/>
        <v>0</v>
      </c>
    </row>
    <row r="77" spans="1:41" x14ac:dyDescent="0.25">
      <c r="A77" s="7" t="s">
        <v>100</v>
      </c>
      <c r="B77" s="8" t="s">
        <v>99</v>
      </c>
      <c r="C77" s="28">
        <v>3</v>
      </c>
      <c r="D77" s="9" t="s">
        <v>115</v>
      </c>
      <c r="E77" s="37">
        <v>46089</v>
      </c>
      <c r="F77" s="196">
        <v>0.375</v>
      </c>
      <c r="G77" s="210" t="s">
        <v>74</v>
      </c>
      <c r="H77" s="206"/>
      <c r="I77" s="173" t="s">
        <v>187</v>
      </c>
      <c r="J77" s="174" t="s">
        <v>189</v>
      </c>
      <c r="K77" s="3">
        <f t="shared" si="45"/>
        <v>1</v>
      </c>
      <c r="L77">
        <f t="shared" si="46"/>
        <v>1</v>
      </c>
      <c r="M77" s="45">
        <f t="shared" si="32"/>
        <v>80</v>
      </c>
      <c r="N77" s="48">
        <f t="shared" si="47"/>
        <v>10</v>
      </c>
      <c r="O77" s="45">
        <f t="shared" si="43"/>
        <v>0</v>
      </c>
      <c r="P77" s="45">
        <f t="shared" si="43"/>
        <v>0</v>
      </c>
      <c r="Q77" s="45">
        <f t="shared" si="43"/>
        <v>0</v>
      </c>
      <c r="R77" s="45">
        <f t="shared" si="43"/>
        <v>0</v>
      </c>
      <c r="S77" s="45">
        <f t="shared" si="43"/>
        <v>0</v>
      </c>
      <c r="T77" s="45">
        <f t="shared" si="43"/>
        <v>0</v>
      </c>
      <c r="U77" s="45">
        <f t="shared" si="43"/>
        <v>0</v>
      </c>
      <c r="V77" s="45">
        <f t="shared" si="43"/>
        <v>0</v>
      </c>
      <c r="W77" s="45">
        <f t="shared" si="43"/>
        <v>0</v>
      </c>
      <c r="X77" s="45">
        <f t="shared" si="43"/>
        <v>0</v>
      </c>
      <c r="Y77" s="45">
        <f t="shared" si="44"/>
        <v>0</v>
      </c>
      <c r="Z77" s="45">
        <f t="shared" si="44"/>
        <v>0</v>
      </c>
      <c r="AA77" s="45">
        <f t="shared" si="44"/>
        <v>0</v>
      </c>
      <c r="AB77" s="45">
        <f t="shared" si="44"/>
        <v>70</v>
      </c>
      <c r="AC77" s="45">
        <f t="shared" si="44"/>
        <v>0</v>
      </c>
      <c r="AD77" s="45">
        <f t="shared" si="44"/>
        <v>0</v>
      </c>
      <c r="AE77" s="45">
        <f t="shared" si="44"/>
        <v>0</v>
      </c>
      <c r="AF77" s="45">
        <f t="shared" si="44"/>
        <v>0</v>
      </c>
      <c r="AG77" s="45">
        <f t="shared" si="44"/>
        <v>0</v>
      </c>
      <c r="AH77" s="45">
        <f t="shared" si="44"/>
        <v>0</v>
      </c>
      <c r="AI77" s="45">
        <f t="shared" si="44"/>
        <v>0</v>
      </c>
      <c r="AJ77" s="45">
        <f t="shared" si="44"/>
        <v>0</v>
      </c>
      <c r="AK77" s="45">
        <f t="shared" si="44"/>
        <v>0</v>
      </c>
      <c r="AL77" s="45">
        <f t="shared" si="44"/>
        <v>0</v>
      </c>
      <c r="AM77" s="45">
        <f t="shared" si="44"/>
        <v>0</v>
      </c>
    </row>
    <row r="78" spans="1:41" x14ac:dyDescent="0.25">
      <c r="A78" s="7" t="s">
        <v>96</v>
      </c>
      <c r="B78" s="8" t="s">
        <v>97</v>
      </c>
      <c r="C78" s="28">
        <v>3</v>
      </c>
      <c r="D78" s="9" t="s">
        <v>115</v>
      </c>
      <c r="E78" s="37">
        <v>46089</v>
      </c>
      <c r="F78" s="196">
        <v>0.47916666666666669</v>
      </c>
      <c r="G78" s="210" t="s">
        <v>75</v>
      </c>
      <c r="H78" s="206"/>
      <c r="I78" s="173" t="s">
        <v>187</v>
      </c>
      <c r="J78" s="174" t="s">
        <v>189</v>
      </c>
      <c r="K78" s="3">
        <f t="shared" si="45"/>
        <v>1</v>
      </c>
      <c r="L78">
        <f t="shared" si="46"/>
        <v>1</v>
      </c>
      <c r="M78" s="45">
        <f t="shared" si="32"/>
        <v>80</v>
      </c>
      <c r="N78" s="48">
        <f t="shared" si="47"/>
        <v>10</v>
      </c>
      <c r="O78" s="45">
        <f t="shared" si="43"/>
        <v>0</v>
      </c>
      <c r="P78" s="45">
        <f t="shared" si="43"/>
        <v>0</v>
      </c>
      <c r="Q78" s="45">
        <f t="shared" si="43"/>
        <v>0</v>
      </c>
      <c r="R78" s="45">
        <f t="shared" si="43"/>
        <v>0</v>
      </c>
      <c r="S78" s="45">
        <f t="shared" si="43"/>
        <v>0</v>
      </c>
      <c r="T78" s="45">
        <f t="shared" si="43"/>
        <v>0</v>
      </c>
      <c r="U78" s="45">
        <f t="shared" si="43"/>
        <v>0</v>
      </c>
      <c r="V78" s="45">
        <f t="shared" si="43"/>
        <v>0</v>
      </c>
      <c r="W78" s="45">
        <f t="shared" si="43"/>
        <v>0</v>
      </c>
      <c r="X78" s="45">
        <f t="shared" si="43"/>
        <v>0</v>
      </c>
      <c r="Y78" s="45">
        <f t="shared" si="44"/>
        <v>0</v>
      </c>
      <c r="Z78" s="45">
        <f t="shared" si="44"/>
        <v>0</v>
      </c>
      <c r="AA78" s="45">
        <f t="shared" si="44"/>
        <v>0</v>
      </c>
      <c r="AB78" s="45">
        <f t="shared" si="44"/>
        <v>0</v>
      </c>
      <c r="AC78" s="45">
        <f t="shared" si="44"/>
        <v>70</v>
      </c>
      <c r="AD78" s="45">
        <f t="shared" si="44"/>
        <v>0</v>
      </c>
      <c r="AE78" s="45">
        <f t="shared" si="44"/>
        <v>0</v>
      </c>
      <c r="AF78" s="45">
        <f t="shared" si="44"/>
        <v>0</v>
      </c>
      <c r="AG78" s="45">
        <f t="shared" si="44"/>
        <v>0</v>
      </c>
      <c r="AH78" s="45">
        <f t="shared" si="44"/>
        <v>0</v>
      </c>
      <c r="AI78" s="45">
        <f t="shared" si="44"/>
        <v>0</v>
      </c>
      <c r="AJ78" s="45">
        <f t="shared" si="44"/>
        <v>0</v>
      </c>
      <c r="AK78" s="45">
        <f t="shared" si="44"/>
        <v>0</v>
      </c>
      <c r="AL78" s="45">
        <f t="shared" si="44"/>
        <v>0</v>
      </c>
      <c r="AM78" s="45">
        <f t="shared" si="44"/>
        <v>0</v>
      </c>
    </row>
    <row r="79" spans="1:41" ht="15.75" thickBot="1" x14ac:dyDescent="0.3">
      <c r="A79" s="10" t="s">
        <v>101</v>
      </c>
      <c r="B79" s="11" t="s">
        <v>98</v>
      </c>
      <c r="C79" s="33">
        <v>3</v>
      </c>
      <c r="D79" s="12" t="s">
        <v>115</v>
      </c>
      <c r="E79" s="43">
        <v>46089</v>
      </c>
      <c r="F79" s="201">
        <v>0.58333333333333337</v>
      </c>
      <c r="G79" s="221" t="s">
        <v>75</v>
      </c>
      <c r="H79" s="222"/>
      <c r="I79" s="175" t="s">
        <v>187</v>
      </c>
      <c r="J79" s="176" t="s">
        <v>189</v>
      </c>
      <c r="K79" s="3">
        <f t="shared" si="45"/>
        <v>1</v>
      </c>
      <c r="L79">
        <f t="shared" si="46"/>
        <v>1</v>
      </c>
      <c r="M79" s="45">
        <f t="shared" si="32"/>
        <v>80</v>
      </c>
      <c r="N79" s="48">
        <f t="shared" si="47"/>
        <v>10</v>
      </c>
      <c r="O79" s="45">
        <f t="shared" si="43"/>
        <v>0</v>
      </c>
      <c r="P79" s="45">
        <f t="shared" si="43"/>
        <v>0</v>
      </c>
      <c r="Q79" s="45">
        <f t="shared" si="43"/>
        <v>0</v>
      </c>
      <c r="R79" s="45">
        <f t="shared" si="43"/>
        <v>0</v>
      </c>
      <c r="S79" s="45">
        <f t="shared" si="43"/>
        <v>0</v>
      </c>
      <c r="T79" s="45">
        <f t="shared" si="43"/>
        <v>0</v>
      </c>
      <c r="U79" s="45">
        <f t="shared" si="43"/>
        <v>0</v>
      </c>
      <c r="V79" s="45">
        <f t="shared" si="43"/>
        <v>0</v>
      </c>
      <c r="W79" s="45">
        <f t="shared" si="43"/>
        <v>0</v>
      </c>
      <c r="X79" s="45">
        <f t="shared" si="43"/>
        <v>0</v>
      </c>
      <c r="Y79" s="45">
        <f t="shared" si="44"/>
        <v>0</v>
      </c>
      <c r="Z79" s="45">
        <f t="shared" si="44"/>
        <v>0</v>
      </c>
      <c r="AA79" s="45">
        <f t="shared" si="44"/>
        <v>0</v>
      </c>
      <c r="AB79" s="45">
        <f t="shared" si="44"/>
        <v>0</v>
      </c>
      <c r="AC79" s="45">
        <f t="shared" si="44"/>
        <v>70</v>
      </c>
      <c r="AD79" s="45">
        <f t="shared" si="44"/>
        <v>0</v>
      </c>
      <c r="AE79" s="45">
        <f t="shared" si="44"/>
        <v>0</v>
      </c>
      <c r="AF79" s="45">
        <f t="shared" si="44"/>
        <v>0</v>
      </c>
      <c r="AG79" s="45">
        <f t="shared" si="44"/>
        <v>0</v>
      </c>
      <c r="AH79" s="45">
        <f t="shared" si="44"/>
        <v>0</v>
      </c>
      <c r="AI79" s="45">
        <f t="shared" si="44"/>
        <v>0</v>
      </c>
      <c r="AJ79" s="45">
        <f t="shared" si="44"/>
        <v>0</v>
      </c>
      <c r="AK79" s="45">
        <f t="shared" si="44"/>
        <v>0</v>
      </c>
      <c r="AL79" s="45">
        <f t="shared" si="44"/>
        <v>0</v>
      </c>
      <c r="AM79" s="45">
        <f t="shared" si="44"/>
        <v>0</v>
      </c>
    </row>
    <row r="80" spans="1:41" ht="13.5" customHeight="1" thickBot="1" x14ac:dyDescent="0.3">
      <c r="A80" s="98"/>
      <c r="B80" s="99"/>
      <c r="C80" s="100"/>
      <c r="D80" s="101"/>
      <c r="E80" s="102"/>
      <c r="F80" s="197"/>
      <c r="G80" s="212"/>
      <c r="H80" s="204"/>
      <c r="I80" s="187"/>
      <c r="J80" s="51" t="str">
        <f>"Totals for " &amp; D79 &amp;"…"</f>
        <v>Totals for Mar 2-Mar 8…</v>
      </c>
      <c r="K80" s="3">
        <v>9</v>
      </c>
      <c r="L80">
        <f t="shared" ref="L80:L95" si="48">IF(G80=L$1,1,IF(H80=L$1,1,""))</f>
        <v>1</v>
      </c>
      <c r="M80" s="52">
        <f t="shared" si="32"/>
        <v>2885</v>
      </c>
      <c r="N80" s="49">
        <f t="shared" ref="N80:AM80" si="49">SUM(N51:N79)</f>
        <v>350</v>
      </c>
      <c r="O80" s="53">
        <f t="shared" si="49"/>
        <v>225</v>
      </c>
      <c r="P80" s="53">
        <f t="shared" si="49"/>
        <v>365</v>
      </c>
      <c r="Q80" s="53">
        <f t="shared" si="49"/>
        <v>145</v>
      </c>
      <c r="R80" s="53">
        <f t="shared" si="49"/>
        <v>75</v>
      </c>
      <c r="S80" s="53">
        <f t="shared" si="49"/>
        <v>290</v>
      </c>
      <c r="T80" s="49">
        <f t="shared" si="49"/>
        <v>0</v>
      </c>
      <c r="U80" s="53">
        <f t="shared" si="49"/>
        <v>145</v>
      </c>
      <c r="V80" s="53">
        <f t="shared" si="49"/>
        <v>290</v>
      </c>
      <c r="W80" s="53">
        <f t="shared" si="49"/>
        <v>75</v>
      </c>
      <c r="X80" s="53">
        <f t="shared" si="49"/>
        <v>0</v>
      </c>
      <c r="Y80" s="53">
        <f t="shared" si="49"/>
        <v>0</v>
      </c>
      <c r="Z80" s="53">
        <f t="shared" ref="Z80:AH80" si="50">SUM(Z51:Z79)</f>
        <v>75</v>
      </c>
      <c r="AA80" s="53">
        <f t="shared" si="50"/>
        <v>140</v>
      </c>
      <c r="AB80" s="53">
        <f t="shared" si="50"/>
        <v>70</v>
      </c>
      <c r="AC80" s="53">
        <f t="shared" si="50"/>
        <v>140</v>
      </c>
      <c r="AD80" s="53">
        <f t="shared" si="50"/>
        <v>215</v>
      </c>
      <c r="AE80" s="53">
        <f t="shared" si="50"/>
        <v>215</v>
      </c>
      <c r="AF80" s="53">
        <f t="shared" si="50"/>
        <v>70</v>
      </c>
      <c r="AG80" s="53">
        <f t="shared" si="50"/>
        <v>0</v>
      </c>
      <c r="AH80" s="53">
        <f t="shared" si="50"/>
        <v>0</v>
      </c>
      <c r="AI80" s="53">
        <f t="shared" si="49"/>
        <v>0</v>
      </c>
      <c r="AJ80" s="53">
        <f>SUM(AJ51:AJ79)</f>
        <v>0</v>
      </c>
      <c r="AK80" s="53">
        <f t="shared" si="49"/>
        <v>0</v>
      </c>
      <c r="AL80" s="53">
        <f t="shared" si="49"/>
        <v>0</v>
      </c>
      <c r="AM80" s="53">
        <f t="shared" si="49"/>
        <v>0</v>
      </c>
      <c r="AN80" s="96">
        <f>SUM(N80:AM80)</f>
        <v>2885</v>
      </c>
      <c r="AO80" s="97"/>
    </row>
    <row r="81" spans="1:39" x14ac:dyDescent="0.25">
      <c r="A81" s="25" t="s">
        <v>90</v>
      </c>
      <c r="B81" s="26" t="s">
        <v>97</v>
      </c>
      <c r="C81" s="34">
        <v>4</v>
      </c>
      <c r="D81" s="27" t="s">
        <v>206</v>
      </c>
      <c r="E81" s="38">
        <v>46090</v>
      </c>
      <c r="F81" s="191">
        <v>0.70833333333333337</v>
      </c>
      <c r="G81" s="205" t="s">
        <v>73</v>
      </c>
      <c r="H81" s="206"/>
      <c r="I81" s="163" t="s">
        <v>186</v>
      </c>
      <c r="J81" s="164" t="s">
        <v>188</v>
      </c>
      <c r="K81" s="3">
        <f t="shared" ref="K81:K95" si="51">WEEKDAY(E81)</f>
        <v>2</v>
      </c>
      <c r="L81">
        <f t="shared" si="48"/>
        <v>1</v>
      </c>
      <c r="M81" s="45">
        <f t="shared" ref="M81:M112" si="52">SUM(N81:AM81)</f>
        <v>85</v>
      </c>
      <c r="N81" s="48">
        <f t="shared" ref="N81:N101" si="53">IF(H81&lt;&gt;"",20,10)</f>
        <v>10</v>
      </c>
      <c r="O81" s="45">
        <f t="shared" ref="O81:X82" si="54">IF($G81=O$1,VLOOKUP($J81,$AP:$AQ,2,FALSE),IF($H81=O$1,70,0))</f>
        <v>0</v>
      </c>
      <c r="P81" s="45">
        <f t="shared" si="54"/>
        <v>0</v>
      </c>
      <c r="Q81" s="45">
        <f t="shared" si="54"/>
        <v>0</v>
      </c>
      <c r="R81" s="45">
        <f t="shared" si="54"/>
        <v>0</v>
      </c>
      <c r="S81" s="45">
        <f t="shared" si="54"/>
        <v>0</v>
      </c>
      <c r="T81" s="45">
        <f t="shared" si="54"/>
        <v>0</v>
      </c>
      <c r="U81" s="45">
        <f t="shared" si="54"/>
        <v>75</v>
      </c>
      <c r="V81" s="45">
        <f t="shared" si="54"/>
        <v>0</v>
      </c>
      <c r="W81" s="45">
        <f t="shared" si="54"/>
        <v>0</v>
      </c>
      <c r="X81" s="45">
        <f t="shared" si="54"/>
        <v>0</v>
      </c>
      <c r="Y81" s="45">
        <f t="shared" ref="Y81:AM82" si="55">IF($G81=Y$1,VLOOKUP($J81,$AP:$AQ,2,FALSE),IF($H81=Y$1,70,0))</f>
        <v>0</v>
      </c>
      <c r="Z81" s="45">
        <f t="shared" si="55"/>
        <v>0</v>
      </c>
      <c r="AA81" s="45">
        <f t="shared" si="55"/>
        <v>0</v>
      </c>
      <c r="AB81" s="45">
        <f t="shared" si="55"/>
        <v>0</v>
      </c>
      <c r="AC81" s="45">
        <f t="shared" si="55"/>
        <v>0</v>
      </c>
      <c r="AD81" s="45">
        <f t="shared" si="55"/>
        <v>0</v>
      </c>
      <c r="AE81" s="45">
        <f t="shared" si="55"/>
        <v>0</v>
      </c>
      <c r="AF81" s="45">
        <f t="shared" si="55"/>
        <v>0</v>
      </c>
      <c r="AG81" s="45">
        <f t="shared" si="55"/>
        <v>0</v>
      </c>
      <c r="AH81" s="45">
        <f t="shared" si="55"/>
        <v>0</v>
      </c>
      <c r="AI81" s="45">
        <f t="shared" si="55"/>
        <v>0</v>
      </c>
      <c r="AJ81" s="45">
        <f t="shared" si="55"/>
        <v>0</v>
      </c>
      <c r="AK81" s="45">
        <f t="shared" si="55"/>
        <v>0</v>
      </c>
      <c r="AL81" s="45">
        <f t="shared" si="55"/>
        <v>0</v>
      </c>
      <c r="AM81" s="45">
        <f t="shared" si="55"/>
        <v>0</v>
      </c>
    </row>
    <row r="82" spans="1:39" x14ac:dyDescent="0.25">
      <c r="A82" s="22" t="s">
        <v>94</v>
      </c>
      <c r="B82" s="23" t="s">
        <v>98</v>
      </c>
      <c r="C82" s="29">
        <v>4</v>
      </c>
      <c r="D82" s="24" t="s">
        <v>206</v>
      </c>
      <c r="E82" s="39">
        <v>46090</v>
      </c>
      <c r="F82" s="193">
        <v>0.70833333333333337</v>
      </c>
      <c r="G82" s="213" t="s">
        <v>77</v>
      </c>
      <c r="H82" s="206"/>
      <c r="I82" s="167" t="s">
        <v>187</v>
      </c>
      <c r="J82" s="168" t="s">
        <v>188</v>
      </c>
      <c r="K82" s="3">
        <f t="shared" si="51"/>
        <v>2</v>
      </c>
      <c r="L82">
        <f t="shared" si="48"/>
        <v>1</v>
      </c>
      <c r="M82" s="45">
        <f t="shared" si="52"/>
        <v>85</v>
      </c>
      <c r="N82" s="48">
        <f t="shared" si="53"/>
        <v>10</v>
      </c>
      <c r="O82" s="45">
        <f t="shared" si="54"/>
        <v>0</v>
      </c>
      <c r="P82" s="45">
        <f t="shared" si="54"/>
        <v>0</v>
      </c>
      <c r="Q82" s="45">
        <f t="shared" si="54"/>
        <v>0</v>
      </c>
      <c r="R82" s="45">
        <f t="shared" si="54"/>
        <v>0</v>
      </c>
      <c r="S82" s="45">
        <f t="shared" si="54"/>
        <v>0</v>
      </c>
      <c r="T82" s="45">
        <f t="shared" si="54"/>
        <v>0</v>
      </c>
      <c r="U82" s="45">
        <f t="shared" si="54"/>
        <v>0</v>
      </c>
      <c r="V82" s="45">
        <f t="shared" si="54"/>
        <v>0</v>
      </c>
      <c r="W82" s="45">
        <f t="shared" si="54"/>
        <v>0</v>
      </c>
      <c r="X82" s="45">
        <f t="shared" si="54"/>
        <v>0</v>
      </c>
      <c r="Y82" s="45">
        <f t="shared" si="55"/>
        <v>0</v>
      </c>
      <c r="Z82" s="45">
        <f t="shared" si="55"/>
        <v>75</v>
      </c>
      <c r="AA82" s="45">
        <f t="shared" si="55"/>
        <v>0</v>
      </c>
      <c r="AB82" s="45">
        <f t="shared" si="55"/>
        <v>0</v>
      </c>
      <c r="AC82" s="45">
        <f t="shared" si="55"/>
        <v>0</v>
      </c>
      <c r="AD82" s="45">
        <f t="shared" si="55"/>
        <v>0</v>
      </c>
      <c r="AE82" s="45">
        <f t="shared" si="55"/>
        <v>0</v>
      </c>
      <c r="AF82" s="45">
        <f t="shared" si="55"/>
        <v>0</v>
      </c>
      <c r="AG82" s="45">
        <f t="shared" si="55"/>
        <v>0</v>
      </c>
      <c r="AH82" s="45">
        <f t="shared" si="55"/>
        <v>0</v>
      </c>
      <c r="AI82" s="45">
        <f t="shared" si="55"/>
        <v>0</v>
      </c>
      <c r="AJ82" s="45">
        <f t="shared" si="55"/>
        <v>0</v>
      </c>
      <c r="AK82" s="45">
        <f t="shared" si="55"/>
        <v>0</v>
      </c>
      <c r="AL82" s="45">
        <f t="shared" si="55"/>
        <v>0</v>
      </c>
      <c r="AM82" s="45">
        <f t="shared" si="55"/>
        <v>0</v>
      </c>
    </row>
    <row r="83" spans="1:39" x14ac:dyDescent="0.25">
      <c r="A83" s="421" t="s">
        <v>194</v>
      </c>
      <c r="B83" s="422" t="s">
        <v>195</v>
      </c>
      <c r="C83" s="423">
        <v>4</v>
      </c>
      <c r="D83" s="424" t="s">
        <v>206</v>
      </c>
      <c r="E83" s="425">
        <v>46090</v>
      </c>
      <c r="F83" s="426">
        <v>0.75</v>
      </c>
      <c r="G83" s="427" t="s">
        <v>20</v>
      </c>
      <c r="H83" s="217"/>
      <c r="I83" s="428" t="s">
        <v>196</v>
      </c>
      <c r="J83" s="429" t="s">
        <v>196</v>
      </c>
      <c r="K83" s="3"/>
      <c r="L83">
        <f>IF(G83=L$1,1,IF(H83=L$1,1,""))</f>
        <v>1</v>
      </c>
      <c r="M83" s="45">
        <f t="shared" si="52"/>
        <v>95</v>
      </c>
      <c r="N83" s="48">
        <f t="shared" si="53"/>
        <v>10</v>
      </c>
      <c r="O83" s="45">
        <f t="shared" ref="O83:P111" si="56">IF($G83=O$1,VLOOKUP($J83,$AP:$AQ,2,FALSE),IF($H83=O$1,70,0))</f>
        <v>0</v>
      </c>
      <c r="P83" s="45">
        <f t="shared" si="56"/>
        <v>0</v>
      </c>
      <c r="Q83" s="45"/>
      <c r="R83" s="45">
        <f t="shared" ref="R83:AA92" si="57">IF($G83=R$1,VLOOKUP($J83,$AP:$AQ,2,FALSE),IF($H83=R$1,70,0))</f>
        <v>0</v>
      </c>
      <c r="S83" s="45">
        <f t="shared" si="57"/>
        <v>85</v>
      </c>
      <c r="T83" s="45">
        <f t="shared" si="57"/>
        <v>0</v>
      </c>
      <c r="U83" s="45">
        <f t="shared" si="57"/>
        <v>0</v>
      </c>
      <c r="V83" s="45">
        <f t="shared" si="57"/>
        <v>0</v>
      </c>
      <c r="W83" s="45">
        <f t="shared" si="57"/>
        <v>0</v>
      </c>
      <c r="X83" s="45">
        <f t="shared" si="57"/>
        <v>0</v>
      </c>
      <c r="Y83" s="45">
        <f t="shared" si="57"/>
        <v>0</v>
      </c>
      <c r="Z83" s="45">
        <f t="shared" si="57"/>
        <v>0</v>
      </c>
      <c r="AA83" s="45">
        <f t="shared" si="57"/>
        <v>0</v>
      </c>
      <c r="AB83" s="45">
        <f t="shared" ref="AB83:AM92" si="58">IF($G83=AB$1,VLOOKUP($J83,$AP:$AQ,2,FALSE),IF($H83=AB$1,70,0))</f>
        <v>0</v>
      </c>
      <c r="AC83" s="45">
        <f t="shared" si="58"/>
        <v>0</v>
      </c>
      <c r="AD83" s="45">
        <f t="shared" si="58"/>
        <v>0</v>
      </c>
      <c r="AE83" s="45">
        <f t="shared" si="58"/>
        <v>0</v>
      </c>
      <c r="AF83" s="45">
        <f t="shared" si="58"/>
        <v>0</v>
      </c>
      <c r="AG83" s="45">
        <f t="shared" si="58"/>
        <v>0</v>
      </c>
      <c r="AH83" s="45">
        <f t="shared" si="58"/>
        <v>0</v>
      </c>
      <c r="AI83" s="45">
        <f t="shared" si="58"/>
        <v>0</v>
      </c>
      <c r="AJ83" s="45">
        <f t="shared" si="58"/>
        <v>0</v>
      </c>
      <c r="AK83" s="45">
        <f t="shared" si="58"/>
        <v>0</v>
      </c>
      <c r="AL83" s="45">
        <f t="shared" si="58"/>
        <v>0</v>
      </c>
      <c r="AM83" s="45">
        <f t="shared" si="58"/>
        <v>0</v>
      </c>
    </row>
    <row r="84" spans="1:39" x14ac:dyDescent="0.25">
      <c r="A84" s="16" t="s">
        <v>95</v>
      </c>
      <c r="B84" s="17" t="s">
        <v>99</v>
      </c>
      <c r="C84" s="32">
        <v>4</v>
      </c>
      <c r="D84" s="18" t="s">
        <v>206</v>
      </c>
      <c r="E84" s="42">
        <v>46091</v>
      </c>
      <c r="F84" s="195">
        <v>0.6875</v>
      </c>
      <c r="G84" s="209" t="s">
        <v>18</v>
      </c>
      <c r="H84" s="206"/>
      <c r="I84" s="171" t="s">
        <v>186</v>
      </c>
      <c r="J84" s="172" t="s">
        <v>188</v>
      </c>
      <c r="K84" s="3">
        <f t="shared" si="51"/>
        <v>3</v>
      </c>
      <c r="L84">
        <f t="shared" si="48"/>
        <v>1</v>
      </c>
      <c r="M84" s="45">
        <f t="shared" si="52"/>
        <v>85</v>
      </c>
      <c r="N84" s="48">
        <f t="shared" si="53"/>
        <v>10</v>
      </c>
      <c r="O84" s="45">
        <f t="shared" si="56"/>
        <v>0</v>
      </c>
      <c r="P84" s="45">
        <f t="shared" si="56"/>
        <v>75</v>
      </c>
      <c r="Q84" s="45">
        <f t="shared" ref="Q84:Q95" si="59">IF($G84=Q$1,VLOOKUP($J84,$AP:$AQ,2,FALSE),IF($H84=Q$1,70,0))</f>
        <v>0</v>
      </c>
      <c r="R84" s="45">
        <f t="shared" si="57"/>
        <v>0</v>
      </c>
      <c r="S84" s="45">
        <f t="shared" si="57"/>
        <v>0</v>
      </c>
      <c r="T84" s="45">
        <f t="shared" si="57"/>
        <v>0</v>
      </c>
      <c r="U84" s="45">
        <f t="shared" si="57"/>
        <v>0</v>
      </c>
      <c r="V84" s="45">
        <f t="shared" si="57"/>
        <v>0</v>
      </c>
      <c r="W84" s="45">
        <f t="shared" si="57"/>
        <v>0</v>
      </c>
      <c r="X84" s="45">
        <f t="shared" si="57"/>
        <v>0</v>
      </c>
      <c r="Y84" s="45">
        <f t="shared" si="57"/>
        <v>0</v>
      </c>
      <c r="Z84" s="45">
        <f t="shared" si="57"/>
        <v>0</v>
      </c>
      <c r="AA84" s="45">
        <f t="shared" si="57"/>
        <v>0</v>
      </c>
      <c r="AB84" s="45">
        <f t="shared" si="58"/>
        <v>0</v>
      </c>
      <c r="AC84" s="45">
        <f t="shared" si="58"/>
        <v>0</v>
      </c>
      <c r="AD84" s="45">
        <f t="shared" si="58"/>
        <v>0</v>
      </c>
      <c r="AE84" s="45">
        <f t="shared" si="58"/>
        <v>0</v>
      </c>
      <c r="AF84" s="45">
        <f t="shared" si="58"/>
        <v>0</v>
      </c>
      <c r="AG84" s="45">
        <f t="shared" si="58"/>
        <v>0</v>
      </c>
      <c r="AH84" s="45">
        <f t="shared" si="58"/>
        <v>0</v>
      </c>
      <c r="AI84" s="45">
        <f t="shared" si="58"/>
        <v>0</v>
      </c>
      <c r="AJ84" s="45">
        <f t="shared" si="58"/>
        <v>0</v>
      </c>
      <c r="AK84" s="45">
        <f t="shared" si="58"/>
        <v>0</v>
      </c>
      <c r="AL84" s="45">
        <f t="shared" si="58"/>
        <v>0</v>
      </c>
      <c r="AM84" s="45">
        <f t="shared" si="58"/>
        <v>0</v>
      </c>
    </row>
    <row r="85" spans="1:39" x14ac:dyDescent="0.25">
      <c r="A85" s="13" t="s">
        <v>96</v>
      </c>
      <c r="B85" s="14" t="s">
        <v>93</v>
      </c>
      <c r="C85" s="31">
        <v>4</v>
      </c>
      <c r="D85" s="15" t="s">
        <v>206</v>
      </c>
      <c r="E85" s="41">
        <v>46091</v>
      </c>
      <c r="F85" s="194">
        <v>0.79166666666666663</v>
      </c>
      <c r="G85" s="208" t="s">
        <v>19</v>
      </c>
      <c r="H85" s="208" t="s">
        <v>18</v>
      </c>
      <c r="I85" s="169" t="s">
        <v>186</v>
      </c>
      <c r="J85" s="170" t="s">
        <v>190</v>
      </c>
      <c r="K85" s="3">
        <f t="shared" si="51"/>
        <v>3</v>
      </c>
      <c r="L85" t="str">
        <f t="shared" si="48"/>
        <v/>
      </c>
      <c r="M85" s="45">
        <f t="shared" si="52"/>
        <v>165</v>
      </c>
      <c r="N85" s="48">
        <f t="shared" si="53"/>
        <v>20</v>
      </c>
      <c r="O85" s="45">
        <f t="shared" si="56"/>
        <v>75</v>
      </c>
      <c r="P85" s="45">
        <f t="shared" si="56"/>
        <v>70</v>
      </c>
      <c r="Q85" s="45">
        <f t="shared" si="59"/>
        <v>0</v>
      </c>
      <c r="R85" s="45">
        <f t="shared" si="57"/>
        <v>0</v>
      </c>
      <c r="S85" s="45">
        <f t="shared" si="57"/>
        <v>0</v>
      </c>
      <c r="T85" s="45">
        <f t="shared" si="57"/>
        <v>0</v>
      </c>
      <c r="U85" s="45">
        <f t="shared" si="57"/>
        <v>0</v>
      </c>
      <c r="V85" s="45">
        <f t="shared" si="57"/>
        <v>0</v>
      </c>
      <c r="W85" s="45">
        <f t="shared" si="57"/>
        <v>0</v>
      </c>
      <c r="X85" s="45">
        <f t="shared" si="57"/>
        <v>0</v>
      </c>
      <c r="Y85" s="45">
        <f t="shared" si="57"/>
        <v>0</v>
      </c>
      <c r="Z85" s="45">
        <f t="shared" si="57"/>
        <v>0</v>
      </c>
      <c r="AA85" s="45">
        <f t="shared" si="57"/>
        <v>0</v>
      </c>
      <c r="AB85" s="45">
        <f t="shared" si="58"/>
        <v>0</v>
      </c>
      <c r="AC85" s="45">
        <f t="shared" si="58"/>
        <v>0</v>
      </c>
      <c r="AD85" s="45">
        <f t="shared" si="58"/>
        <v>0</v>
      </c>
      <c r="AE85" s="45">
        <f t="shared" si="58"/>
        <v>0</v>
      </c>
      <c r="AF85" s="45">
        <f t="shared" si="58"/>
        <v>0</v>
      </c>
      <c r="AG85" s="45">
        <f t="shared" si="58"/>
        <v>0</v>
      </c>
      <c r="AH85" s="45">
        <f t="shared" si="58"/>
        <v>0</v>
      </c>
      <c r="AI85" s="45">
        <f t="shared" si="58"/>
        <v>0</v>
      </c>
      <c r="AJ85" s="45">
        <f t="shared" si="58"/>
        <v>0</v>
      </c>
      <c r="AK85" s="45">
        <f t="shared" si="58"/>
        <v>0</v>
      </c>
      <c r="AL85" s="45">
        <f t="shared" si="58"/>
        <v>0</v>
      </c>
      <c r="AM85" s="45">
        <f t="shared" si="58"/>
        <v>0</v>
      </c>
    </row>
    <row r="86" spans="1:39" x14ac:dyDescent="0.25">
      <c r="A86" s="19" t="s">
        <v>99</v>
      </c>
      <c r="B86" s="20" t="s">
        <v>94</v>
      </c>
      <c r="C86" s="30">
        <v>4</v>
      </c>
      <c r="D86" s="21" t="s">
        <v>206</v>
      </c>
      <c r="E86" s="40">
        <v>46091</v>
      </c>
      <c r="F86" s="198">
        <v>0.6875</v>
      </c>
      <c r="G86" s="214" t="s">
        <v>28</v>
      </c>
      <c r="H86" s="206"/>
      <c r="I86" s="177" t="s">
        <v>187</v>
      </c>
      <c r="J86" s="178" t="s">
        <v>189</v>
      </c>
      <c r="K86" s="3">
        <f t="shared" si="51"/>
        <v>3</v>
      </c>
      <c r="L86">
        <f t="shared" si="48"/>
        <v>1</v>
      </c>
      <c r="M86" s="45">
        <f t="shared" si="52"/>
        <v>80</v>
      </c>
      <c r="N86" s="48">
        <f t="shared" si="53"/>
        <v>10</v>
      </c>
      <c r="O86" s="45">
        <f t="shared" si="56"/>
        <v>0</v>
      </c>
      <c r="P86" s="45">
        <f t="shared" si="56"/>
        <v>0</v>
      </c>
      <c r="Q86" s="45">
        <f t="shared" si="59"/>
        <v>0</v>
      </c>
      <c r="R86" s="45">
        <f t="shared" si="57"/>
        <v>0</v>
      </c>
      <c r="S86" s="45">
        <f t="shared" si="57"/>
        <v>0</v>
      </c>
      <c r="T86" s="45">
        <f t="shared" si="57"/>
        <v>0</v>
      </c>
      <c r="U86" s="45">
        <f t="shared" si="57"/>
        <v>0</v>
      </c>
      <c r="V86" s="45">
        <f t="shared" si="57"/>
        <v>0</v>
      </c>
      <c r="W86" s="45">
        <f t="shared" si="57"/>
        <v>0</v>
      </c>
      <c r="X86" s="45">
        <f t="shared" si="57"/>
        <v>0</v>
      </c>
      <c r="Y86" s="45">
        <f t="shared" si="57"/>
        <v>0</v>
      </c>
      <c r="Z86" s="45">
        <f t="shared" si="57"/>
        <v>0</v>
      </c>
      <c r="AA86" s="45">
        <f t="shared" si="57"/>
        <v>70</v>
      </c>
      <c r="AB86" s="45">
        <f t="shared" si="58"/>
        <v>0</v>
      </c>
      <c r="AC86" s="45">
        <f t="shared" si="58"/>
        <v>0</v>
      </c>
      <c r="AD86" s="45">
        <f t="shared" si="58"/>
        <v>0</v>
      </c>
      <c r="AE86" s="45">
        <f t="shared" si="58"/>
        <v>0</v>
      </c>
      <c r="AF86" s="45">
        <f t="shared" si="58"/>
        <v>0</v>
      </c>
      <c r="AG86" s="45">
        <f t="shared" si="58"/>
        <v>0</v>
      </c>
      <c r="AH86" s="45">
        <f t="shared" si="58"/>
        <v>0</v>
      </c>
      <c r="AI86" s="45">
        <f t="shared" si="58"/>
        <v>0</v>
      </c>
      <c r="AJ86" s="45">
        <f t="shared" si="58"/>
        <v>0</v>
      </c>
      <c r="AK86" s="45">
        <f t="shared" si="58"/>
        <v>0</v>
      </c>
      <c r="AL86" s="45">
        <f t="shared" si="58"/>
        <v>0</v>
      </c>
      <c r="AM86" s="45">
        <f t="shared" si="58"/>
        <v>0</v>
      </c>
    </row>
    <row r="87" spans="1:39" x14ac:dyDescent="0.25">
      <c r="A87" s="16" t="s">
        <v>89</v>
      </c>
      <c r="B87" s="17" t="s">
        <v>93</v>
      </c>
      <c r="C87" s="32">
        <v>4</v>
      </c>
      <c r="D87" s="18" t="s">
        <v>206</v>
      </c>
      <c r="E87" s="42">
        <v>46091</v>
      </c>
      <c r="F87" s="195">
        <v>0.79166666666666663</v>
      </c>
      <c r="G87" s="209" t="s">
        <v>24</v>
      </c>
      <c r="H87" s="206"/>
      <c r="I87" s="171" t="s">
        <v>187</v>
      </c>
      <c r="J87" s="172" t="s">
        <v>188</v>
      </c>
      <c r="K87" s="3">
        <f t="shared" si="51"/>
        <v>3</v>
      </c>
      <c r="L87">
        <f t="shared" si="48"/>
        <v>1</v>
      </c>
      <c r="M87" s="45">
        <f t="shared" si="52"/>
        <v>85</v>
      </c>
      <c r="N87" s="48">
        <f t="shared" si="53"/>
        <v>10</v>
      </c>
      <c r="O87" s="45">
        <f t="shared" si="56"/>
        <v>0</v>
      </c>
      <c r="P87" s="45">
        <f t="shared" si="56"/>
        <v>0</v>
      </c>
      <c r="Q87" s="45">
        <f t="shared" si="59"/>
        <v>0</v>
      </c>
      <c r="R87" s="45">
        <f t="shared" si="57"/>
        <v>75</v>
      </c>
      <c r="S87" s="45">
        <f t="shared" si="57"/>
        <v>0</v>
      </c>
      <c r="T87" s="45">
        <f t="shared" si="57"/>
        <v>0</v>
      </c>
      <c r="U87" s="45">
        <f t="shared" si="57"/>
        <v>0</v>
      </c>
      <c r="V87" s="45">
        <f t="shared" si="57"/>
        <v>0</v>
      </c>
      <c r="W87" s="45">
        <f t="shared" si="57"/>
        <v>0</v>
      </c>
      <c r="X87" s="45">
        <f t="shared" si="57"/>
        <v>0</v>
      </c>
      <c r="Y87" s="45">
        <f t="shared" si="57"/>
        <v>0</v>
      </c>
      <c r="Z87" s="45">
        <f t="shared" si="57"/>
        <v>0</v>
      </c>
      <c r="AA87" s="45">
        <f t="shared" si="57"/>
        <v>0</v>
      </c>
      <c r="AB87" s="45">
        <f t="shared" si="58"/>
        <v>0</v>
      </c>
      <c r="AC87" s="45">
        <f t="shared" si="58"/>
        <v>0</v>
      </c>
      <c r="AD87" s="45">
        <f t="shared" si="58"/>
        <v>0</v>
      </c>
      <c r="AE87" s="45">
        <f t="shared" si="58"/>
        <v>0</v>
      </c>
      <c r="AF87" s="45">
        <f t="shared" si="58"/>
        <v>0</v>
      </c>
      <c r="AG87" s="45">
        <f t="shared" si="58"/>
        <v>0</v>
      </c>
      <c r="AH87" s="45">
        <f t="shared" si="58"/>
        <v>0</v>
      </c>
      <c r="AI87" s="45">
        <f t="shared" si="58"/>
        <v>0</v>
      </c>
      <c r="AJ87" s="45">
        <f t="shared" si="58"/>
        <v>0</v>
      </c>
      <c r="AK87" s="45">
        <f t="shared" si="58"/>
        <v>0</v>
      </c>
      <c r="AL87" s="45">
        <f t="shared" si="58"/>
        <v>0</v>
      </c>
      <c r="AM87" s="45">
        <f t="shared" si="58"/>
        <v>0</v>
      </c>
    </row>
    <row r="88" spans="1:39" x14ac:dyDescent="0.25">
      <c r="A88" s="55" t="s">
        <v>97</v>
      </c>
      <c r="B88" s="56" t="s">
        <v>89</v>
      </c>
      <c r="C88" s="57">
        <v>4</v>
      </c>
      <c r="D88" s="58" t="s">
        <v>206</v>
      </c>
      <c r="E88" s="59">
        <v>46092</v>
      </c>
      <c r="F88" s="192">
        <v>0.70833333333333337</v>
      </c>
      <c r="G88" s="207" t="s">
        <v>21</v>
      </c>
      <c r="H88" s="207" t="s">
        <v>24</v>
      </c>
      <c r="I88" s="165" t="s">
        <v>186</v>
      </c>
      <c r="J88" s="166" t="s">
        <v>190</v>
      </c>
      <c r="K88" s="3">
        <f t="shared" si="51"/>
        <v>4</v>
      </c>
      <c r="L88" t="str">
        <f t="shared" si="48"/>
        <v/>
      </c>
      <c r="M88" s="45">
        <f t="shared" si="52"/>
        <v>165</v>
      </c>
      <c r="N88" s="48">
        <f t="shared" si="53"/>
        <v>20</v>
      </c>
      <c r="O88" s="45">
        <f t="shared" si="56"/>
        <v>0</v>
      </c>
      <c r="P88" s="45">
        <f t="shared" si="56"/>
        <v>0</v>
      </c>
      <c r="Q88" s="45">
        <f t="shared" si="59"/>
        <v>0</v>
      </c>
      <c r="R88" s="45">
        <f t="shared" si="57"/>
        <v>70</v>
      </c>
      <c r="S88" s="45">
        <f t="shared" si="57"/>
        <v>0</v>
      </c>
      <c r="T88" s="45">
        <f t="shared" si="57"/>
        <v>0</v>
      </c>
      <c r="U88" s="45">
        <f t="shared" si="57"/>
        <v>0</v>
      </c>
      <c r="V88" s="45">
        <f t="shared" si="57"/>
        <v>75</v>
      </c>
      <c r="W88" s="45">
        <f t="shared" si="57"/>
        <v>0</v>
      </c>
      <c r="X88" s="45">
        <f t="shared" si="57"/>
        <v>0</v>
      </c>
      <c r="Y88" s="45">
        <f t="shared" si="57"/>
        <v>0</v>
      </c>
      <c r="Z88" s="45">
        <f t="shared" si="57"/>
        <v>0</v>
      </c>
      <c r="AA88" s="45">
        <f t="shared" si="57"/>
        <v>0</v>
      </c>
      <c r="AB88" s="45">
        <f t="shared" si="58"/>
        <v>0</v>
      </c>
      <c r="AC88" s="45">
        <f t="shared" si="58"/>
        <v>0</v>
      </c>
      <c r="AD88" s="45">
        <f t="shared" si="58"/>
        <v>0</v>
      </c>
      <c r="AE88" s="45">
        <f t="shared" si="58"/>
        <v>0</v>
      </c>
      <c r="AF88" s="45">
        <f t="shared" si="58"/>
        <v>0</v>
      </c>
      <c r="AG88" s="45">
        <f t="shared" si="58"/>
        <v>0</v>
      </c>
      <c r="AH88" s="45">
        <f t="shared" si="58"/>
        <v>0</v>
      </c>
      <c r="AI88" s="45">
        <f t="shared" si="58"/>
        <v>0</v>
      </c>
      <c r="AJ88" s="45">
        <f t="shared" si="58"/>
        <v>0</v>
      </c>
      <c r="AK88" s="45">
        <f t="shared" si="58"/>
        <v>0</v>
      </c>
      <c r="AL88" s="45">
        <f t="shared" si="58"/>
        <v>0</v>
      </c>
      <c r="AM88" s="45">
        <f t="shared" si="58"/>
        <v>0</v>
      </c>
    </row>
    <row r="89" spans="1:39" x14ac:dyDescent="0.25">
      <c r="A89" s="60" t="s">
        <v>98</v>
      </c>
      <c r="B89" s="61" t="s">
        <v>100</v>
      </c>
      <c r="C89" s="62">
        <v>4</v>
      </c>
      <c r="D89" s="63" t="s">
        <v>206</v>
      </c>
      <c r="E89" s="64">
        <v>46092</v>
      </c>
      <c r="F89" s="199">
        <v>0.70833333333333337</v>
      </c>
      <c r="G89" s="215" t="s">
        <v>23</v>
      </c>
      <c r="H89" s="206"/>
      <c r="I89" s="179" t="s">
        <v>187</v>
      </c>
      <c r="J89" s="180" t="s">
        <v>189</v>
      </c>
      <c r="K89" s="3">
        <f t="shared" si="51"/>
        <v>4</v>
      </c>
      <c r="L89">
        <f t="shared" si="48"/>
        <v>1</v>
      </c>
      <c r="M89" s="45">
        <f t="shared" si="52"/>
        <v>80</v>
      </c>
      <c r="N89" s="48">
        <f t="shared" si="53"/>
        <v>10</v>
      </c>
      <c r="O89" s="45">
        <f t="shared" si="56"/>
        <v>0</v>
      </c>
      <c r="P89" s="45">
        <f t="shared" si="56"/>
        <v>0</v>
      </c>
      <c r="Q89" s="45">
        <f t="shared" si="59"/>
        <v>0</v>
      </c>
      <c r="R89" s="45">
        <f t="shared" si="57"/>
        <v>0</v>
      </c>
      <c r="S89" s="45">
        <f t="shared" si="57"/>
        <v>0</v>
      </c>
      <c r="T89" s="45">
        <f t="shared" si="57"/>
        <v>0</v>
      </c>
      <c r="U89" s="45">
        <f t="shared" si="57"/>
        <v>0</v>
      </c>
      <c r="V89" s="45">
        <f t="shared" si="57"/>
        <v>0</v>
      </c>
      <c r="W89" s="45">
        <f t="shared" si="57"/>
        <v>0</v>
      </c>
      <c r="X89" s="45">
        <f t="shared" si="57"/>
        <v>0</v>
      </c>
      <c r="Y89" s="45">
        <f t="shared" si="57"/>
        <v>70</v>
      </c>
      <c r="Z89" s="45">
        <f t="shared" si="57"/>
        <v>0</v>
      </c>
      <c r="AA89" s="45">
        <f t="shared" si="57"/>
        <v>0</v>
      </c>
      <c r="AB89" s="45">
        <f t="shared" si="58"/>
        <v>0</v>
      </c>
      <c r="AC89" s="45">
        <f t="shared" si="58"/>
        <v>0</v>
      </c>
      <c r="AD89" s="45">
        <f t="shared" si="58"/>
        <v>0</v>
      </c>
      <c r="AE89" s="45">
        <f t="shared" si="58"/>
        <v>0</v>
      </c>
      <c r="AF89" s="45">
        <f t="shared" si="58"/>
        <v>0</v>
      </c>
      <c r="AG89" s="45">
        <f t="shared" si="58"/>
        <v>0</v>
      </c>
      <c r="AH89" s="45">
        <f t="shared" si="58"/>
        <v>0</v>
      </c>
      <c r="AI89" s="45">
        <f t="shared" si="58"/>
        <v>0</v>
      </c>
      <c r="AJ89" s="45">
        <f t="shared" si="58"/>
        <v>0</v>
      </c>
      <c r="AK89" s="45">
        <f t="shared" si="58"/>
        <v>0</v>
      </c>
      <c r="AL89" s="45">
        <f t="shared" si="58"/>
        <v>0</v>
      </c>
      <c r="AM89" s="45">
        <f t="shared" si="58"/>
        <v>0</v>
      </c>
    </row>
    <row r="90" spans="1:39" x14ac:dyDescent="0.25">
      <c r="A90" s="19" t="s">
        <v>92</v>
      </c>
      <c r="B90" s="20" t="s">
        <v>89</v>
      </c>
      <c r="C90" s="30">
        <v>4</v>
      </c>
      <c r="D90" s="21" t="s">
        <v>206</v>
      </c>
      <c r="E90" s="40">
        <v>46093</v>
      </c>
      <c r="F90" s="198">
        <v>0.6875</v>
      </c>
      <c r="G90" s="214" t="s">
        <v>28</v>
      </c>
      <c r="H90" s="206"/>
      <c r="I90" s="177" t="s">
        <v>186</v>
      </c>
      <c r="J90" s="178" t="s">
        <v>189</v>
      </c>
      <c r="K90" s="3">
        <f t="shared" si="51"/>
        <v>5</v>
      </c>
      <c r="L90">
        <f t="shared" si="48"/>
        <v>1</v>
      </c>
      <c r="M90" s="45">
        <f t="shared" si="52"/>
        <v>80</v>
      </c>
      <c r="N90" s="48">
        <f t="shared" si="53"/>
        <v>10</v>
      </c>
      <c r="O90" s="45">
        <f t="shared" si="56"/>
        <v>0</v>
      </c>
      <c r="P90" s="45">
        <f t="shared" si="56"/>
        <v>0</v>
      </c>
      <c r="Q90" s="45">
        <f t="shared" si="59"/>
        <v>0</v>
      </c>
      <c r="R90" s="45">
        <f t="shared" si="57"/>
        <v>0</v>
      </c>
      <c r="S90" s="45">
        <f t="shared" si="57"/>
        <v>0</v>
      </c>
      <c r="T90" s="45">
        <f t="shared" si="57"/>
        <v>0</v>
      </c>
      <c r="U90" s="45">
        <f t="shared" si="57"/>
        <v>0</v>
      </c>
      <c r="V90" s="45">
        <f t="shared" si="57"/>
        <v>0</v>
      </c>
      <c r="W90" s="45">
        <f t="shared" si="57"/>
        <v>0</v>
      </c>
      <c r="X90" s="45">
        <f t="shared" si="57"/>
        <v>0</v>
      </c>
      <c r="Y90" s="45">
        <f t="shared" si="57"/>
        <v>0</v>
      </c>
      <c r="Z90" s="45">
        <f t="shared" si="57"/>
        <v>0</v>
      </c>
      <c r="AA90" s="45">
        <f t="shared" si="57"/>
        <v>70</v>
      </c>
      <c r="AB90" s="45">
        <f t="shared" si="58"/>
        <v>0</v>
      </c>
      <c r="AC90" s="45">
        <f t="shared" si="58"/>
        <v>0</v>
      </c>
      <c r="AD90" s="45">
        <f t="shared" si="58"/>
        <v>0</v>
      </c>
      <c r="AE90" s="45">
        <f t="shared" si="58"/>
        <v>0</v>
      </c>
      <c r="AF90" s="45">
        <f t="shared" si="58"/>
        <v>0</v>
      </c>
      <c r="AG90" s="45">
        <f t="shared" si="58"/>
        <v>0</v>
      </c>
      <c r="AH90" s="45">
        <f t="shared" si="58"/>
        <v>0</v>
      </c>
      <c r="AI90" s="45">
        <f t="shared" si="58"/>
        <v>0</v>
      </c>
      <c r="AJ90" s="45">
        <f t="shared" si="58"/>
        <v>0</v>
      </c>
      <c r="AK90" s="45">
        <f t="shared" si="58"/>
        <v>0</v>
      </c>
      <c r="AL90" s="45">
        <f t="shared" si="58"/>
        <v>0</v>
      </c>
      <c r="AM90" s="45">
        <f t="shared" si="58"/>
        <v>0</v>
      </c>
    </row>
    <row r="91" spans="1:39" x14ac:dyDescent="0.25">
      <c r="A91" s="13" t="s">
        <v>94</v>
      </c>
      <c r="B91" s="14" t="s">
        <v>92</v>
      </c>
      <c r="C91" s="31">
        <v>4</v>
      </c>
      <c r="D91" s="15" t="s">
        <v>206</v>
      </c>
      <c r="E91" s="41">
        <v>46093</v>
      </c>
      <c r="F91" s="194">
        <v>0.79166666666666663</v>
      </c>
      <c r="G91" s="208" t="s">
        <v>18</v>
      </c>
      <c r="H91" s="208" t="s">
        <v>22</v>
      </c>
      <c r="I91" s="169" t="s">
        <v>186</v>
      </c>
      <c r="J91" s="170" t="s">
        <v>190</v>
      </c>
      <c r="K91" s="3">
        <f t="shared" si="51"/>
        <v>5</v>
      </c>
      <c r="L91" t="str">
        <f t="shared" si="48"/>
        <v/>
      </c>
      <c r="M91" s="45">
        <f t="shared" si="52"/>
        <v>165</v>
      </c>
      <c r="N91" s="48">
        <f t="shared" si="53"/>
        <v>20</v>
      </c>
      <c r="O91" s="45">
        <f t="shared" si="56"/>
        <v>0</v>
      </c>
      <c r="P91" s="45">
        <f t="shared" si="56"/>
        <v>75</v>
      </c>
      <c r="Q91" s="45">
        <f t="shared" si="59"/>
        <v>70</v>
      </c>
      <c r="R91" s="45">
        <f t="shared" si="57"/>
        <v>0</v>
      </c>
      <c r="S91" s="45">
        <f t="shared" si="57"/>
        <v>0</v>
      </c>
      <c r="T91" s="45">
        <f t="shared" si="57"/>
        <v>0</v>
      </c>
      <c r="U91" s="45">
        <f t="shared" si="57"/>
        <v>0</v>
      </c>
      <c r="V91" s="45">
        <f t="shared" si="57"/>
        <v>0</v>
      </c>
      <c r="W91" s="45">
        <f t="shared" si="57"/>
        <v>0</v>
      </c>
      <c r="X91" s="45">
        <f t="shared" si="57"/>
        <v>0</v>
      </c>
      <c r="Y91" s="45">
        <f t="shared" si="57"/>
        <v>0</v>
      </c>
      <c r="Z91" s="45">
        <f t="shared" si="57"/>
        <v>0</v>
      </c>
      <c r="AA91" s="45">
        <f t="shared" si="57"/>
        <v>0</v>
      </c>
      <c r="AB91" s="45">
        <f t="shared" si="58"/>
        <v>0</v>
      </c>
      <c r="AC91" s="45">
        <f t="shared" si="58"/>
        <v>0</v>
      </c>
      <c r="AD91" s="45">
        <f t="shared" si="58"/>
        <v>0</v>
      </c>
      <c r="AE91" s="45">
        <f t="shared" si="58"/>
        <v>0</v>
      </c>
      <c r="AF91" s="45">
        <f t="shared" si="58"/>
        <v>0</v>
      </c>
      <c r="AG91" s="45">
        <f t="shared" si="58"/>
        <v>0</v>
      </c>
      <c r="AH91" s="45">
        <f t="shared" si="58"/>
        <v>0</v>
      </c>
      <c r="AI91" s="45">
        <f t="shared" si="58"/>
        <v>0</v>
      </c>
      <c r="AJ91" s="45">
        <f t="shared" si="58"/>
        <v>0</v>
      </c>
      <c r="AK91" s="45">
        <f t="shared" si="58"/>
        <v>0</v>
      </c>
      <c r="AL91" s="45">
        <f t="shared" si="58"/>
        <v>0</v>
      </c>
      <c r="AM91" s="45">
        <f t="shared" si="58"/>
        <v>0</v>
      </c>
    </row>
    <row r="92" spans="1:39" x14ac:dyDescent="0.25">
      <c r="A92" s="19" t="s">
        <v>90</v>
      </c>
      <c r="B92" s="20" t="s">
        <v>101</v>
      </c>
      <c r="C92" s="30">
        <v>4</v>
      </c>
      <c r="D92" s="21" t="s">
        <v>206</v>
      </c>
      <c r="E92" s="40">
        <v>46093</v>
      </c>
      <c r="F92" s="198">
        <v>0.6875</v>
      </c>
      <c r="G92" s="214" t="s">
        <v>106</v>
      </c>
      <c r="H92" s="206"/>
      <c r="I92" s="177" t="s">
        <v>187</v>
      </c>
      <c r="J92" s="178" t="s">
        <v>189</v>
      </c>
      <c r="K92" s="3">
        <f t="shared" si="51"/>
        <v>5</v>
      </c>
      <c r="L92">
        <f t="shared" si="48"/>
        <v>1</v>
      </c>
      <c r="M92" s="45">
        <f t="shared" si="52"/>
        <v>80</v>
      </c>
      <c r="N92" s="48">
        <f t="shared" si="53"/>
        <v>10</v>
      </c>
      <c r="O92" s="45">
        <f t="shared" si="56"/>
        <v>0</v>
      </c>
      <c r="P92" s="45">
        <f t="shared" si="56"/>
        <v>0</v>
      </c>
      <c r="Q92" s="45">
        <f t="shared" si="59"/>
        <v>0</v>
      </c>
      <c r="R92" s="45">
        <f t="shared" si="57"/>
        <v>0</v>
      </c>
      <c r="S92" s="45">
        <f t="shared" si="57"/>
        <v>0</v>
      </c>
      <c r="T92" s="45">
        <f t="shared" si="57"/>
        <v>0</v>
      </c>
      <c r="U92" s="45">
        <f t="shared" si="57"/>
        <v>0</v>
      </c>
      <c r="V92" s="45">
        <f t="shared" si="57"/>
        <v>0</v>
      </c>
      <c r="W92" s="45">
        <f t="shared" si="57"/>
        <v>0</v>
      </c>
      <c r="X92" s="45">
        <f t="shared" si="57"/>
        <v>0</v>
      </c>
      <c r="Y92" s="45">
        <f t="shared" si="57"/>
        <v>0</v>
      </c>
      <c r="Z92" s="45">
        <f t="shared" si="57"/>
        <v>0</v>
      </c>
      <c r="AA92" s="45">
        <f t="shared" si="57"/>
        <v>0</v>
      </c>
      <c r="AB92" s="45">
        <f t="shared" si="58"/>
        <v>0</v>
      </c>
      <c r="AC92" s="45">
        <f t="shared" si="58"/>
        <v>0</v>
      </c>
      <c r="AD92" s="45">
        <f t="shared" si="58"/>
        <v>70</v>
      </c>
      <c r="AE92" s="45">
        <f t="shared" si="58"/>
        <v>0</v>
      </c>
      <c r="AF92" s="45">
        <f t="shared" si="58"/>
        <v>0</v>
      </c>
      <c r="AG92" s="45">
        <f t="shared" si="58"/>
        <v>0</v>
      </c>
      <c r="AH92" s="45">
        <f t="shared" si="58"/>
        <v>0</v>
      </c>
      <c r="AI92" s="45">
        <f t="shared" si="58"/>
        <v>0</v>
      </c>
      <c r="AJ92" s="45">
        <f t="shared" si="58"/>
        <v>0</v>
      </c>
      <c r="AK92" s="45">
        <f t="shared" si="58"/>
        <v>0</v>
      </c>
      <c r="AL92" s="45">
        <f t="shared" si="58"/>
        <v>0</v>
      </c>
      <c r="AM92" s="45">
        <f t="shared" si="58"/>
        <v>0</v>
      </c>
    </row>
    <row r="93" spans="1:39" x14ac:dyDescent="0.25">
      <c r="A93" s="16" t="s">
        <v>96</v>
      </c>
      <c r="B93" s="17" t="s">
        <v>92</v>
      </c>
      <c r="C93" s="32">
        <v>4</v>
      </c>
      <c r="D93" s="18" t="s">
        <v>206</v>
      </c>
      <c r="E93" s="42">
        <v>46093</v>
      </c>
      <c r="F93" s="195">
        <v>0.79166666666666663</v>
      </c>
      <c r="G93" s="209" t="s">
        <v>21</v>
      </c>
      <c r="H93" s="206"/>
      <c r="I93" s="171" t="s">
        <v>187</v>
      </c>
      <c r="J93" s="172" t="s">
        <v>188</v>
      </c>
      <c r="K93" s="3">
        <f t="shared" si="51"/>
        <v>5</v>
      </c>
      <c r="L93">
        <f t="shared" si="48"/>
        <v>1</v>
      </c>
      <c r="M93" s="45">
        <f t="shared" si="52"/>
        <v>85</v>
      </c>
      <c r="N93" s="48">
        <f t="shared" si="53"/>
        <v>10</v>
      </c>
      <c r="O93" s="45">
        <f t="shared" si="56"/>
        <v>0</v>
      </c>
      <c r="P93" s="45">
        <f t="shared" si="56"/>
        <v>0</v>
      </c>
      <c r="Q93" s="45">
        <f t="shared" si="59"/>
        <v>0</v>
      </c>
      <c r="R93" s="45">
        <f t="shared" ref="R93:AA102" si="60">IF($G93=R$1,VLOOKUP($J93,$AP:$AQ,2,FALSE),IF($H93=R$1,70,0))</f>
        <v>0</v>
      </c>
      <c r="S93" s="45">
        <f t="shared" si="60"/>
        <v>0</v>
      </c>
      <c r="T93" s="45">
        <f t="shared" si="60"/>
        <v>0</v>
      </c>
      <c r="U93" s="45">
        <f t="shared" si="60"/>
        <v>0</v>
      </c>
      <c r="V93" s="45">
        <f t="shared" si="60"/>
        <v>75</v>
      </c>
      <c r="W93" s="45">
        <f t="shared" si="60"/>
        <v>0</v>
      </c>
      <c r="X93" s="45">
        <f t="shared" si="60"/>
        <v>0</v>
      </c>
      <c r="Y93" s="45">
        <f t="shared" si="60"/>
        <v>0</v>
      </c>
      <c r="Z93" s="45">
        <f t="shared" si="60"/>
        <v>0</v>
      </c>
      <c r="AA93" s="45">
        <f t="shared" si="60"/>
        <v>0</v>
      </c>
      <c r="AB93" s="45">
        <f t="shared" ref="AB93:AM102" si="61">IF($G93=AB$1,VLOOKUP($J93,$AP:$AQ,2,FALSE),IF($H93=AB$1,70,0))</f>
        <v>0</v>
      </c>
      <c r="AC93" s="45">
        <f t="shared" si="61"/>
        <v>0</v>
      </c>
      <c r="AD93" s="45">
        <f t="shared" si="61"/>
        <v>0</v>
      </c>
      <c r="AE93" s="45">
        <f t="shared" si="61"/>
        <v>0</v>
      </c>
      <c r="AF93" s="45">
        <f t="shared" si="61"/>
        <v>0</v>
      </c>
      <c r="AG93" s="45">
        <f t="shared" si="61"/>
        <v>0</v>
      </c>
      <c r="AH93" s="45">
        <f t="shared" si="61"/>
        <v>0</v>
      </c>
      <c r="AI93" s="45">
        <f t="shared" si="61"/>
        <v>0</v>
      </c>
      <c r="AJ93" s="45">
        <f t="shared" si="61"/>
        <v>0</v>
      </c>
      <c r="AK93" s="45">
        <f t="shared" si="61"/>
        <v>0</v>
      </c>
      <c r="AL93" s="45">
        <f t="shared" si="61"/>
        <v>0</v>
      </c>
      <c r="AM93" s="45">
        <f t="shared" si="61"/>
        <v>0</v>
      </c>
    </row>
    <row r="94" spans="1:39" x14ac:dyDescent="0.25">
      <c r="A94" s="60" t="s">
        <v>97</v>
      </c>
      <c r="B94" s="61" t="s">
        <v>93</v>
      </c>
      <c r="C94" s="62">
        <v>4</v>
      </c>
      <c r="D94" s="63" t="s">
        <v>206</v>
      </c>
      <c r="E94" s="64">
        <v>46094</v>
      </c>
      <c r="F94" s="199">
        <v>0.6875</v>
      </c>
      <c r="G94" s="215" t="s">
        <v>104</v>
      </c>
      <c r="H94" s="206"/>
      <c r="I94" s="179" t="s">
        <v>186</v>
      </c>
      <c r="J94" s="180" t="s">
        <v>189</v>
      </c>
      <c r="K94" s="3">
        <f t="shared" si="51"/>
        <v>6</v>
      </c>
      <c r="L94">
        <f t="shared" si="48"/>
        <v>1</v>
      </c>
      <c r="M94" s="45">
        <f t="shared" si="52"/>
        <v>80</v>
      </c>
      <c r="N94" s="48">
        <f t="shared" si="53"/>
        <v>10</v>
      </c>
      <c r="O94" s="45">
        <f t="shared" si="56"/>
        <v>0</v>
      </c>
      <c r="P94" s="45">
        <f t="shared" si="56"/>
        <v>0</v>
      </c>
      <c r="Q94" s="45">
        <f t="shared" si="59"/>
        <v>0</v>
      </c>
      <c r="R94" s="45">
        <f t="shared" si="60"/>
        <v>0</v>
      </c>
      <c r="S94" s="45">
        <f t="shared" si="60"/>
        <v>0</v>
      </c>
      <c r="T94" s="45">
        <f t="shared" si="60"/>
        <v>0</v>
      </c>
      <c r="U94" s="45">
        <f t="shared" si="60"/>
        <v>0</v>
      </c>
      <c r="V94" s="45">
        <f t="shared" si="60"/>
        <v>0</v>
      </c>
      <c r="W94" s="45">
        <f t="shared" si="60"/>
        <v>70</v>
      </c>
      <c r="X94" s="45">
        <f t="shared" si="60"/>
        <v>0</v>
      </c>
      <c r="Y94" s="45">
        <f t="shared" si="60"/>
        <v>0</v>
      </c>
      <c r="Z94" s="45">
        <f t="shared" si="60"/>
        <v>0</v>
      </c>
      <c r="AA94" s="45">
        <f t="shared" si="60"/>
        <v>0</v>
      </c>
      <c r="AB94" s="45">
        <f t="shared" si="61"/>
        <v>0</v>
      </c>
      <c r="AC94" s="45">
        <f t="shared" si="61"/>
        <v>0</v>
      </c>
      <c r="AD94" s="45">
        <f t="shared" si="61"/>
        <v>0</v>
      </c>
      <c r="AE94" s="45">
        <f t="shared" si="61"/>
        <v>0</v>
      </c>
      <c r="AF94" s="45">
        <f t="shared" si="61"/>
        <v>0</v>
      </c>
      <c r="AG94" s="45">
        <f t="shared" si="61"/>
        <v>0</v>
      </c>
      <c r="AH94" s="45">
        <f t="shared" si="61"/>
        <v>0</v>
      </c>
      <c r="AI94" s="45">
        <f t="shared" si="61"/>
        <v>0</v>
      </c>
      <c r="AJ94" s="45">
        <f t="shared" si="61"/>
        <v>0</v>
      </c>
      <c r="AK94" s="45">
        <f t="shared" si="61"/>
        <v>0</v>
      </c>
      <c r="AL94" s="45">
        <f t="shared" si="61"/>
        <v>0</v>
      </c>
      <c r="AM94" s="45">
        <f t="shared" si="61"/>
        <v>0</v>
      </c>
    </row>
    <row r="95" spans="1:39" x14ac:dyDescent="0.25">
      <c r="A95" s="60" t="s">
        <v>95</v>
      </c>
      <c r="B95" s="61" t="s">
        <v>96</v>
      </c>
      <c r="C95" s="62">
        <v>4</v>
      </c>
      <c r="D95" s="63" t="s">
        <v>206</v>
      </c>
      <c r="E95" s="64">
        <v>46094</v>
      </c>
      <c r="F95" s="199">
        <v>0.6875</v>
      </c>
      <c r="G95" s="215" t="s">
        <v>106</v>
      </c>
      <c r="H95" s="206"/>
      <c r="I95" s="179" t="s">
        <v>187</v>
      </c>
      <c r="J95" s="180" t="s">
        <v>189</v>
      </c>
      <c r="K95" s="3">
        <f t="shared" si="51"/>
        <v>6</v>
      </c>
      <c r="L95">
        <f t="shared" si="48"/>
        <v>1</v>
      </c>
      <c r="M95" s="45">
        <f t="shared" si="52"/>
        <v>80</v>
      </c>
      <c r="N95" s="48">
        <f t="shared" si="53"/>
        <v>10</v>
      </c>
      <c r="O95" s="45">
        <f t="shared" si="56"/>
        <v>0</v>
      </c>
      <c r="P95" s="45">
        <f t="shared" si="56"/>
        <v>0</v>
      </c>
      <c r="Q95" s="45">
        <f t="shared" si="59"/>
        <v>0</v>
      </c>
      <c r="R95" s="45">
        <f t="shared" si="60"/>
        <v>0</v>
      </c>
      <c r="S95" s="45">
        <f t="shared" si="60"/>
        <v>0</v>
      </c>
      <c r="T95" s="45">
        <f t="shared" si="60"/>
        <v>0</v>
      </c>
      <c r="U95" s="45">
        <f t="shared" si="60"/>
        <v>0</v>
      </c>
      <c r="V95" s="45">
        <f t="shared" si="60"/>
        <v>0</v>
      </c>
      <c r="W95" s="45">
        <f t="shared" si="60"/>
        <v>0</v>
      </c>
      <c r="X95" s="45">
        <f t="shared" si="60"/>
        <v>0</v>
      </c>
      <c r="Y95" s="45">
        <f t="shared" si="60"/>
        <v>0</v>
      </c>
      <c r="Z95" s="45">
        <f t="shared" si="60"/>
        <v>0</v>
      </c>
      <c r="AA95" s="45">
        <f t="shared" si="60"/>
        <v>0</v>
      </c>
      <c r="AB95" s="45">
        <f t="shared" si="61"/>
        <v>0</v>
      </c>
      <c r="AC95" s="45">
        <f t="shared" si="61"/>
        <v>0</v>
      </c>
      <c r="AD95" s="45">
        <f t="shared" si="61"/>
        <v>70</v>
      </c>
      <c r="AE95" s="45">
        <f t="shared" si="61"/>
        <v>0</v>
      </c>
      <c r="AF95" s="45">
        <f t="shared" si="61"/>
        <v>0</v>
      </c>
      <c r="AG95" s="45">
        <f t="shared" si="61"/>
        <v>0</v>
      </c>
      <c r="AH95" s="45">
        <f t="shared" si="61"/>
        <v>0</v>
      </c>
      <c r="AI95" s="45">
        <f t="shared" si="61"/>
        <v>0</v>
      </c>
      <c r="AJ95" s="45">
        <f t="shared" si="61"/>
        <v>0</v>
      </c>
      <c r="AK95" s="45">
        <f t="shared" si="61"/>
        <v>0</v>
      </c>
      <c r="AL95" s="45">
        <f t="shared" si="61"/>
        <v>0</v>
      </c>
      <c r="AM95" s="45">
        <f t="shared" si="61"/>
        <v>0</v>
      </c>
    </row>
    <row r="96" spans="1:39" x14ac:dyDescent="0.25">
      <c r="A96" s="421" t="s">
        <v>194</v>
      </c>
      <c r="B96" s="422" t="s">
        <v>195</v>
      </c>
      <c r="C96" s="423">
        <v>4</v>
      </c>
      <c r="D96" s="424" t="s">
        <v>206</v>
      </c>
      <c r="E96" s="425">
        <v>46095</v>
      </c>
      <c r="F96" s="426">
        <v>0.35416666666666669</v>
      </c>
      <c r="G96" s="427" t="s">
        <v>19</v>
      </c>
      <c r="H96" s="217"/>
      <c r="I96" s="428" t="s">
        <v>196</v>
      </c>
      <c r="J96" s="429" t="s">
        <v>196</v>
      </c>
      <c r="K96" s="3"/>
      <c r="L96">
        <f>IF(G96=L$1,1,IF(H96=L$1,1,""))</f>
        <v>1</v>
      </c>
      <c r="M96" s="45">
        <f t="shared" ref="M96" si="62">SUM(N96:AM96)</f>
        <v>95</v>
      </c>
      <c r="N96" s="48">
        <f t="shared" ref="N96" si="63">IF(H96&lt;&gt;"",20,10)</f>
        <v>10</v>
      </c>
      <c r="O96" s="45">
        <f t="shared" si="56"/>
        <v>85</v>
      </c>
      <c r="P96" s="45">
        <f t="shared" si="56"/>
        <v>0</v>
      </c>
      <c r="Q96" s="45"/>
      <c r="R96" s="45">
        <f t="shared" si="60"/>
        <v>0</v>
      </c>
      <c r="S96" s="45">
        <f t="shared" si="60"/>
        <v>0</v>
      </c>
      <c r="T96" s="45">
        <f t="shared" si="60"/>
        <v>0</v>
      </c>
      <c r="U96" s="45">
        <f t="shared" si="60"/>
        <v>0</v>
      </c>
      <c r="V96" s="45">
        <f t="shared" si="60"/>
        <v>0</v>
      </c>
      <c r="W96" s="45">
        <f t="shared" si="60"/>
        <v>0</v>
      </c>
      <c r="X96" s="45">
        <f t="shared" si="60"/>
        <v>0</v>
      </c>
      <c r="Y96" s="45">
        <f t="shared" si="60"/>
        <v>0</v>
      </c>
      <c r="Z96" s="45">
        <f t="shared" si="60"/>
        <v>0</v>
      </c>
      <c r="AA96" s="45">
        <f t="shared" si="60"/>
        <v>0</v>
      </c>
      <c r="AB96" s="45">
        <f t="shared" si="61"/>
        <v>0</v>
      </c>
      <c r="AC96" s="45">
        <f t="shared" si="61"/>
        <v>0</v>
      </c>
      <c r="AD96" s="45">
        <f t="shared" si="61"/>
        <v>0</v>
      </c>
      <c r="AE96" s="45">
        <f t="shared" si="61"/>
        <v>0</v>
      </c>
      <c r="AF96" s="45">
        <f t="shared" si="61"/>
        <v>0</v>
      </c>
      <c r="AG96" s="45">
        <f t="shared" si="61"/>
        <v>0</v>
      </c>
      <c r="AH96" s="45">
        <f t="shared" si="61"/>
        <v>0</v>
      </c>
      <c r="AI96" s="45">
        <f t="shared" si="61"/>
        <v>0</v>
      </c>
      <c r="AJ96" s="45">
        <f t="shared" si="61"/>
        <v>0</v>
      </c>
      <c r="AK96" s="45">
        <f t="shared" si="61"/>
        <v>0</v>
      </c>
      <c r="AL96" s="45">
        <f t="shared" si="61"/>
        <v>0</v>
      </c>
      <c r="AM96" s="45">
        <f t="shared" si="61"/>
        <v>0</v>
      </c>
    </row>
    <row r="97" spans="1:41" x14ac:dyDescent="0.25">
      <c r="A97" s="421" t="s">
        <v>194</v>
      </c>
      <c r="B97" s="422" t="s">
        <v>195</v>
      </c>
      <c r="C97" s="423">
        <v>4</v>
      </c>
      <c r="D97" s="424" t="s">
        <v>206</v>
      </c>
      <c r="E97" s="425">
        <v>46095</v>
      </c>
      <c r="F97" s="426">
        <v>0.47916666666666669</v>
      </c>
      <c r="G97" s="427" t="s">
        <v>19</v>
      </c>
      <c r="H97" s="217"/>
      <c r="I97" s="428" t="s">
        <v>196</v>
      </c>
      <c r="J97" s="429" t="s">
        <v>196</v>
      </c>
      <c r="K97" s="3"/>
      <c r="L97">
        <f>IF(G97=L$1,1,IF(H97=L$1,1,""))</f>
        <v>1</v>
      </c>
      <c r="M97" s="45">
        <f t="shared" ref="M97" si="64">SUM(N97:AM97)</f>
        <v>95</v>
      </c>
      <c r="N97" s="48">
        <f t="shared" ref="N97" si="65">IF(H97&lt;&gt;"",20,10)</f>
        <v>10</v>
      </c>
      <c r="O97" s="45">
        <f t="shared" si="56"/>
        <v>85</v>
      </c>
      <c r="P97" s="45">
        <f t="shared" si="56"/>
        <v>0</v>
      </c>
      <c r="Q97" s="45"/>
      <c r="R97" s="45">
        <f t="shared" si="60"/>
        <v>0</v>
      </c>
      <c r="S97" s="45">
        <f t="shared" si="60"/>
        <v>0</v>
      </c>
      <c r="T97" s="45">
        <f t="shared" si="60"/>
        <v>0</v>
      </c>
      <c r="U97" s="45">
        <f t="shared" si="60"/>
        <v>0</v>
      </c>
      <c r="V97" s="45">
        <f t="shared" si="60"/>
        <v>0</v>
      </c>
      <c r="W97" s="45">
        <f t="shared" si="60"/>
        <v>0</v>
      </c>
      <c r="X97" s="45">
        <f t="shared" si="60"/>
        <v>0</v>
      </c>
      <c r="Y97" s="45">
        <f t="shared" si="60"/>
        <v>0</v>
      </c>
      <c r="Z97" s="45">
        <f t="shared" si="60"/>
        <v>0</v>
      </c>
      <c r="AA97" s="45">
        <f t="shared" si="60"/>
        <v>0</v>
      </c>
      <c r="AB97" s="45">
        <f t="shared" si="61"/>
        <v>0</v>
      </c>
      <c r="AC97" s="45">
        <f t="shared" si="61"/>
        <v>0</v>
      </c>
      <c r="AD97" s="45">
        <f t="shared" si="61"/>
        <v>0</v>
      </c>
      <c r="AE97" s="45">
        <f t="shared" si="61"/>
        <v>0</v>
      </c>
      <c r="AF97" s="45">
        <f t="shared" si="61"/>
        <v>0</v>
      </c>
      <c r="AG97" s="45">
        <f t="shared" si="61"/>
        <v>0</v>
      </c>
      <c r="AH97" s="45">
        <f t="shared" si="61"/>
        <v>0</v>
      </c>
      <c r="AI97" s="45">
        <f t="shared" si="61"/>
        <v>0</v>
      </c>
      <c r="AJ97" s="45">
        <f t="shared" si="61"/>
        <v>0</v>
      </c>
      <c r="AK97" s="45">
        <f t="shared" si="61"/>
        <v>0</v>
      </c>
      <c r="AL97" s="45">
        <f t="shared" si="61"/>
        <v>0</v>
      </c>
      <c r="AM97" s="45">
        <f t="shared" si="61"/>
        <v>0</v>
      </c>
    </row>
    <row r="98" spans="1:41" x14ac:dyDescent="0.25">
      <c r="A98" s="16" t="s">
        <v>97</v>
      </c>
      <c r="B98" s="17" t="s">
        <v>94</v>
      </c>
      <c r="C98" s="32">
        <v>4</v>
      </c>
      <c r="D98" s="18" t="s">
        <v>206</v>
      </c>
      <c r="E98" s="42">
        <v>46095</v>
      </c>
      <c r="F98" s="195">
        <v>0.375</v>
      </c>
      <c r="G98" s="216" t="s">
        <v>104</v>
      </c>
      <c r="H98" s="217"/>
      <c r="I98" s="181" t="s">
        <v>186</v>
      </c>
      <c r="J98" s="172" t="s">
        <v>188</v>
      </c>
      <c r="K98" s="3">
        <f t="shared" ref="K98:K101" si="66">WEEKDAY(E98)</f>
        <v>7</v>
      </c>
      <c r="L98">
        <f t="shared" ref="L98:L101" si="67">IF(G98=L$1,1,IF(H98=L$1,1,""))</f>
        <v>1</v>
      </c>
      <c r="M98" s="45">
        <f t="shared" si="52"/>
        <v>85</v>
      </c>
      <c r="N98" s="48">
        <f t="shared" si="53"/>
        <v>10</v>
      </c>
      <c r="O98" s="45">
        <f t="shared" si="56"/>
        <v>0</v>
      </c>
      <c r="P98" s="45">
        <f t="shared" si="56"/>
        <v>0</v>
      </c>
      <c r="Q98" s="45">
        <f t="shared" ref="Q98:Q111" si="68">IF($G98=Q$1,VLOOKUP($J98,$AP:$AQ,2,FALSE),IF($H98=Q$1,70,0))</f>
        <v>0</v>
      </c>
      <c r="R98" s="45">
        <f t="shared" si="60"/>
        <v>0</v>
      </c>
      <c r="S98" s="45">
        <f t="shared" si="60"/>
        <v>0</v>
      </c>
      <c r="T98" s="45">
        <f t="shared" si="60"/>
        <v>0</v>
      </c>
      <c r="U98" s="45">
        <f t="shared" si="60"/>
        <v>0</v>
      </c>
      <c r="V98" s="45">
        <f t="shared" si="60"/>
        <v>0</v>
      </c>
      <c r="W98" s="45">
        <f t="shared" si="60"/>
        <v>75</v>
      </c>
      <c r="X98" s="45">
        <f t="shared" si="60"/>
        <v>0</v>
      </c>
      <c r="Y98" s="45">
        <f t="shared" si="60"/>
        <v>0</v>
      </c>
      <c r="Z98" s="45">
        <f t="shared" si="60"/>
        <v>0</v>
      </c>
      <c r="AA98" s="45">
        <f t="shared" si="60"/>
        <v>0</v>
      </c>
      <c r="AB98" s="45">
        <f t="shared" si="61"/>
        <v>0</v>
      </c>
      <c r="AC98" s="45">
        <f t="shared" si="61"/>
        <v>0</v>
      </c>
      <c r="AD98" s="45">
        <f t="shared" si="61"/>
        <v>0</v>
      </c>
      <c r="AE98" s="45">
        <f t="shared" si="61"/>
        <v>0</v>
      </c>
      <c r="AF98" s="45">
        <f t="shared" si="61"/>
        <v>0</v>
      </c>
      <c r="AG98" s="45">
        <f t="shared" si="61"/>
        <v>0</v>
      </c>
      <c r="AH98" s="45">
        <f t="shared" si="61"/>
        <v>0</v>
      </c>
      <c r="AI98" s="45">
        <f t="shared" si="61"/>
        <v>0</v>
      </c>
      <c r="AJ98" s="45">
        <f t="shared" si="61"/>
        <v>0</v>
      </c>
      <c r="AK98" s="45">
        <f t="shared" si="61"/>
        <v>0</v>
      </c>
      <c r="AL98" s="45">
        <f t="shared" si="61"/>
        <v>0</v>
      </c>
      <c r="AM98" s="45">
        <f t="shared" si="61"/>
        <v>0</v>
      </c>
    </row>
    <row r="99" spans="1:41" x14ac:dyDescent="0.25">
      <c r="A99" s="81" t="s">
        <v>97</v>
      </c>
      <c r="B99" s="82" t="s">
        <v>94</v>
      </c>
      <c r="C99" s="78">
        <v>4</v>
      </c>
      <c r="D99" s="79" t="s">
        <v>206</v>
      </c>
      <c r="E99" s="41">
        <v>46095</v>
      </c>
      <c r="F99" s="194">
        <v>0.47916666666666669</v>
      </c>
      <c r="G99" s="211" t="s">
        <v>18</v>
      </c>
      <c r="H99" s="211" t="s">
        <v>104</v>
      </c>
      <c r="I99" s="182" t="s">
        <v>186</v>
      </c>
      <c r="J99" s="183" t="s">
        <v>190</v>
      </c>
      <c r="K99" s="3">
        <f t="shared" si="66"/>
        <v>7</v>
      </c>
      <c r="L99" t="str">
        <f t="shared" si="67"/>
        <v/>
      </c>
      <c r="M99" s="45">
        <f t="shared" si="52"/>
        <v>165</v>
      </c>
      <c r="N99" s="48">
        <f t="shared" si="53"/>
        <v>20</v>
      </c>
      <c r="O99" s="45">
        <f t="shared" si="56"/>
        <v>0</v>
      </c>
      <c r="P99" s="45">
        <f t="shared" si="56"/>
        <v>75</v>
      </c>
      <c r="Q99" s="45">
        <f t="shared" si="68"/>
        <v>0</v>
      </c>
      <c r="R99" s="45">
        <f t="shared" si="60"/>
        <v>0</v>
      </c>
      <c r="S99" s="45">
        <f t="shared" si="60"/>
        <v>0</v>
      </c>
      <c r="T99" s="45">
        <f t="shared" si="60"/>
        <v>0</v>
      </c>
      <c r="U99" s="45">
        <f t="shared" si="60"/>
        <v>0</v>
      </c>
      <c r="V99" s="45">
        <f t="shared" si="60"/>
        <v>0</v>
      </c>
      <c r="W99" s="45">
        <f t="shared" si="60"/>
        <v>70</v>
      </c>
      <c r="X99" s="45">
        <f t="shared" si="60"/>
        <v>0</v>
      </c>
      <c r="Y99" s="45">
        <f t="shared" si="60"/>
        <v>0</v>
      </c>
      <c r="Z99" s="45">
        <f t="shared" si="60"/>
        <v>0</v>
      </c>
      <c r="AA99" s="45">
        <f t="shared" si="60"/>
        <v>0</v>
      </c>
      <c r="AB99" s="45">
        <f t="shared" si="61"/>
        <v>0</v>
      </c>
      <c r="AC99" s="45">
        <f t="shared" si="61"/>
        <v>0</v>
      </c>
      <c r="AD99" s="45">
        <f t="shared" si="61"/>
        <v>0</v>
      </c>
      <c r="AE99" s="45">
        <f t="shared" si="61"/>
        <v>0</v>
      </c>
      <c r="AF99" s="45">
        <f t="shared" si="61"/>
        <v>0</v>
      </c>
      <c r="AG99" s="45">
        <f t="shared" si="61"/>
        <v>0</v>
      </c>
      <c r="AH99" s="45">
        <f t="shared" si="61"/>
        <v>0</v>
      </c>
      <c r="AI99" s="45">
        <f t="shared" si="61"/>
        <v>0</v>
      </c>
      <c r="AJ99" s="45">
        <f t="shared" si="61"/>
        <v>0</v>
      </c>
      <c r="AK99" s="45">
        <f t="shared" si="61"/>
        <v>0</v>
      </c>
      <c r="AL99" s="45">
        <f t="shared" si="61"/>
        <v>0</v>
      </c>
      <c r="AM99" s="45">
        <f t="shared" si="61"/>
        <v>0</v>
      </c>
    </row>
    <row r="100" spans="1:41" x14ac:dyDescent="0.25">
      <c r="A100" s="81" t="s">
        <v>93</v>
      </c>
      <c r="B100" s="82" t="s">
        <v>89</v>
      </c>
      <c r="C100" s="78">
        <v>4</v>
      </c>
      <c r="D100" s="79" t="s">
        <v>206</v>
      </c>
      <c r="E100" s="41">
        <v>46095</v>
      </c>
      <c r="F100" s="194">
        <v>0.58333333333333337</v>
      </c>
      <c r="G100" s="218" t="s">
        <v>20</v>
      </c>
      <c r="H100" s="211" t="s">
        <v>18</v>
      </c>
      <c r="I100" s="184" t="s">
        <v>186</v>
      </c>
      <c r="J100" s="185" t="s">
        <v>190</v>
      </c>
      <c r="K100" s="3">
        <f t="shared" si="66"/>
        <v>7</v>
      </c>
      <c r="L100" t="str">
        <f t="shared" si="67"/>
        <v/>
      </c>
      <c r="M100" s="45">
        <f t="shared" si="52"/>
        <v>165</v>
      </c>
      <c r="N100" s="48">
        <f t="shared" si="53"/>
        <v>20</v>
      </c>
      <c r="O100" s="45">
        <f t="shared" si="56"/>
        <v>0</v>
      </c>
      <c r="P100" s="45">
        <f t="shared" si="56"/>
        <v>70</v>
      </c>
      <c r="Q100" s="45">
        <f t="shared" si="68"/>
        <v>0</v>
      </c>
      <c r="R100" s="45">
        <f t="shared" si="60"/>
        <v>0</v>
      </c>
      <c r="S100" s="45">
        <f t="shared" si="60"/>
        <v>75</v>
      </c>
      <c r="T100" s="45">
        <f t="shared" si="60"/>
        <v>0</v>
      </c>
      <c r="U100" s="45">
        <f t="shared" si="60"/>
        <v>0</v>
      </c>
      <c r="V100" s="45">
        <f t="shared" si="60"/>
        <v>0</v>
      </c>
      <c r="W100" s="45">
        <f t="shared" si="60"/>
        <v>0</v>
      </c>
      <c r="X100" s="45">
        <f t="shared" si="60"/>
        <v>0</v>
      </c>
      <c r="Y100" s="45">
        <f t="shared" si="60"/>
        <v>0</v>
      </c>
      <c r="Z100" s="45">
        <f t="shared" si="60"/>
        <v>0</v>
      </c>
      <c r="AA100" s="45">
        <f t="shared" si="60"/>
        <v>0</v>
      </c>
      <c r="AB100" s="45">
        <f t="shared" si="61"/>
        <v>0</v>
      </c>
      <c r="AC100" s="45">
        <f t="shared" si="61"/>
        <v>0</v>
      </c>
      <c r="AD100" s="45">
        <f t="shared" si="61"/>
        <v>0</v>
      </c>
      <c r="AE100" s="45">
        <f t="shared" si="61"/>
        <v>0</v>
      </c>
      <c r="AF100" s="45">
        <f t="shared" si="61"/>
        <v>0</v>
      </c>
      <c r="AG100" s="45">
        <f t="shared" si="61"/>
        <v>0</v>
      </c>
      <c r="AH100" s="45">
        <f t="shared" si="61"/>
        <v>0</v>
      </c>
      <c r="AI100" s="45">
        <f t="shared" si="61"/>
        <v>0</v>
      </c>
      <c r="AJ100" s="45">
        <f t="shared" si="61"/>
        <v>0</v>
      </c>
      <c r="AK100" s="45">
        <f t="shared" si="61"/>
        <v>0</v>
      </c>
      <c r="AL100" s="45">
        <f t="shared" si="61"/>
        <v>0</v>
      </c>
      <c r="AM100" s="45">
        <f t="shared" si="61"/>
        <v>0</v>
      </c>
    </row>
    <row r="101" spans="1:41" x14ac:dyDescent="0.25">
      <c r="A101" s="81" t="s">
        <v>96</v>
      </c>
      <c r="B101" s="82" t="s">
        <v>92</v>
      </c>
      <c r="C101" s="78">
        <v>4</v>
      </c>
      <c r="D101" s="79" t="s">
        <v>206</v>
      </c>
      <c r="E101" s="41">
        <v>46095</v>
      </c>
      <c r="F101" s="194">
        <v>0.6875</v>
      </c>
      <c r="G101" s="218" t="s">
        <v>73</v>
      </c>
      <c r="H101" s="211" t="s">
        <v>22</v>
      </c>
      <c r="I101" s="186" t="s">
        <v>186</v>
      </c>
      <c r="J101" s="183" t="s">
        <v>190</v>
      </c>
      <c r="K101" s="3">
        <f t="shared" si="66"/>
        <v>7</v>
      </c>
      <c r="L101" t="str">
        <f t="shared" si="67"/>
        <v/>
      </c>
      <c r="M101" s="45">
        <f t="shared" si="52"/>
        <v>165</v>
      </c>
      <c r="N101" s="48">
        <f t="shared" si="53"/>
        <v>20</v>
      </c>
      <c r="O101" s="45">
        <f t="shared" si="56"/>
        <v>0</v>
      </c>
      <c r="P101" s="45">
        <f t="shared" si="56"/>
        <v>0</v>
      </c>
      <c r="Q101" s="45">
        <f t="shared" si="68"/>
        <v>70</v>
      </c>
      <c r="R101" s="45">
        <f t="shared" si="60"/>
        <v>0</v>
      </c>
      <c r="S101" s="45">
        <f t="shared" si="60"/>
        <v>0</v>
      </c>
      <c r="T101" s="45">
        <f t="shared" si="60"/>
        <v>0</v>
      </c>
      <c r="U101" s="45">
        <f t="shared" si="60"/>
        <v>75</v>
      </c>
      <c r="V101" s="45">
        <f t="shared" si="60"/>
        <v>0</v>
      </c>
      <c r="W101" s="45">
        <f t="shared" si="60"/>
        <v>0</v>
      </c>
      <c r="X101" s="45">
        <f t="shared" si="60"/>
        <v>0</v>
      </c>
      <c r="Y101" s="45">
        <f t="shared" si="60"/>
        <v>0</v>
      </c>
      <c r="Z101" s="45">
        <f t="shared" si="60"/>
        <v>0</v>
      </c>
      <c r="AA101" s="45">
        <f t="shared" si="60"/>
        <v>0</v>
      </c>
      <c r="AB101" s="45">
        <f t="shared" si="61"/>
        <v>0</v>
      </c>
      <c r="AC101" s="45">
        <f t="shared" si="61"/>
        <v>0</v>
      </c>
      <c r="AD101" s="45">
        <f t="shared" si="61"/>
        <v>0</v>
      </c>
      <c r="AE101" s="45">
        <f t="shared" si="61"/>
        <v>0</v>
      </c>
      <c r="AF101" s="45">
        <f t="shared" si="61"/>
        <v>0</v>
      </c>
      <c r="AG101" s="45">
        <f t="shared" si="61"/>
        <v>0</v>
      </c>
      <c r="AH101" s="45">
        <f t="shared" si="61"/>
        <v>0</v>
      </c>
      <c r="AI101" s="45">
        <f t="shared" si="61"/>
        <v>0</v>
      </c>
      <c r="AJ101" s="45">
        <f t="shared" si="61"/>
        <v>0</v>
      </c>
      <c r="AK101" s="45">
        <f t="shared" si="61"/>
        <v>0</v>
      </c>
      <c r="AL101" s="45">
        <f t="shared" si="61"/>
        <v>0</v>
      </c>
      <c r="AM101" s="45">
        <f t="shared" si="61"/>
        <v>0</v>
      </c>
    </row>
    <row r="102" spans="1:41" x14ac:dyDescent="0.25">
      <c r="A102" s="16" t="s">
        <v>98</v>
      </c>
      <c r="B102" s="17" t="s">
        <v>89</v>
      </c>
      <c r="C102" s="32">
        <v>4</v>
      </c>
      <c r="D102" s="18" t="s">
        <v>206</v>
      </c>
      <c r="E102" s="42">
        <v>46095</v>
      </c>
      <c r="F102" s="195">
        <v>0.375</v>
      </c>
      <c r="G102" s="209" t="s">
        <v>106</v>
      </c>
      <c r="H102" s="217"/>
      <c r="I102" s="171" t="s">
        <v>187</v>
      </c>
      <c r="J102" s="172" t="s">
        <v>188</v>
      </c>
      <c r="K102" s="3">
        <f>WEEKDAY(E102)</f>
        <v>7</v>
      </c>
      <c r="L102">
        <f>IF(G102=L$1,1,IF(H102=L$1,1,""))</f>
        <v>1</v>
      </c>
      <c r="M102" s="45">
        <f t="shared" si="52"/>
        <v>85</v>
      </c>
      <c r="N102" s="48">
        <f>IF(H102&lt;&gt;"",20,10)</f>
        <v>10</v>
      </c>
      <c r="O102" s="45">
        <f t="shared" si="56"/>
        <v>0</v>
      </c>
      <c r="P102" s="45">
        <f t="shared" si="56"/>
        <v>0</v>
      </c>
      <c r="Q102" s="45">
        <f t="shared" si="68"/>
        <v>0</v>
      </c>
      <c r="R102" s="45">
        <f t="shared" si="60"/>
        <v>0</v>
      </c>
      <c r="S102" s="45">
        <f t="shared" si="60"/>
        <v>0</v>
      </c>
      <c r="T102" s="45">
        <f t="shared" si="60"/>
        <v>0</v>
      </c>
      <c r="U102" s="45">
        <f t="shared" si="60"/>
        <v>0</v>
      </c>
      <c r="V102" s="45">
        <f t="shared" si="60"/>
        <v>0</v>
      </c>
      <c r="W102" s="45">
        <f t="shared" si="60"/>
        <v>0</v>
      </c>
      <c r="X102" s="45">
        <f t="shared" si="60"/>
        <v>0</v>
      </c>
      <c r="Y102" s="45">
        <f t="shared" si="60"/>
        <v>0</v>
      </c>
      <c r="Z102" s="45">
        <f t="shared" si="60"/>
        <v>0</v>
      </c>
      <c r="AA102" s="45">
        <f t="shared" si="60"/>
        <v>0</v>
      </c>
      <c r="AB102" s="45">
        <f t="shared" si="61"/>
        <v>0</v>
      </c>
      <c r="AC102" s="45">
        <f t="shared" si="61"/>
        <v>0</v>
      </c>
      <c r="AD102" s="45">
        <f t="shared" si="61"/>
        <v>75</v>
      </c>
      <c r="AE102" s="45">
        <f t="shared" si="61"/>
        <v>0</v>
      </c>
      <c r="AF102" s="45">
        <f t="shared" si="61"/>
        <v>0</v>
      </c>
      <c r="AG102" s="45">
        <f t="shared" si="61"/>
        <v>0</v>
      </c>
      <c r="AH102" s="45">
        <f t="shared" si="61"/>
        <v>0</v>
      </c>
      <c r="AI102" s="45">
        <f t="shared" si="61"/>
        <v>0</v>
      </c>
      <c r="AJ102" s="45">
        <f t="shared" si="61"/>
        <v>0</v>
      </c>
      <c r="AK102" s="45">
        <f t="shared" si="61"/>
        <v>0</v>
      </c>
      <c r="AL102" s="45">
        <f t="shared" si="61"/>
        <v>0</v>
      </c>
      <c r="AM102" s="45">
        <f t="shared" si="61"/>
        <v>0</v>
      </c>
    </row>
    <row r="103" spans="1:41" x14ac:dyDescent="0.25">
      <c r="A103" s="16" t="s">
        <v>92</v>
      </c>
      <c r="B103" s="17" t="s">
        <v>90</v>
      </c>
      <c r="C103" s="32">
        <v>4</v>
      </c>
      <c r="D103" s="18" t="s">
        <v>206</v>
      </c>
      <c r="E103" s="42">
        <v>46095</v>
      </c>
      <c r="F103" s="195">
        <v>0.47916666666666669</v>
      </c>
      <c r="G103" s="209" t="s">
        <v>20</v>
      </c>
      <c r="H103" s="217"/>
      <c r="I103" s="171" t="s">
        <v>187</v>
      </c>
      <c r="J103" s="172" t="s">
        <v>188</v>
      </c>
      <c r="K103" s="3">
        <f>WEEKDAY(E103)</f>
        <v>7</v>
      </c>
      <c r="L103">
        <f>IF(G103=L$1,1,IF(H103=L$1,1,""))</f>
        <v>1</v>
      </c>
      <c r="M103" s="45">
        <f t="shared" si="52"/>
        <v>85</v>
      </c>
      <c r="N103" s="48">
        <f>IF(H103&lt;&gt;"",20,10)</f>
        <v>10</v>
      </c>
      <c r="O103" s="45">
        <f t="shared" si="56"/>
        <v>0</v>
      </c>
      <c r="P103" s="45">
        <f t="shared" si="56"/>
        <v>0</v>
      </c>
      <c r="Q103" s="45">
        <f t="shared" si="68"/>
        <v>0</v>
      </c>
      <c r="R103" s="45">
        <f t="shared" ref="R103:AA111" si="69">IF($G103=R$1,VLOOKUP($J103,$AP:$AQ,2,FALSE),IF($H103=R$1,70,0))</f>
        <v>0</v>
      </c>
      <c r="S103" s="45">
        <f t="shared" si="69"/>
        <v>75</v>
      </c>
      <c r="T103" s="45">
        <f t="shared" si="69"/>
        <v>0</v>
      </c>
      <c r="U103" s="45">
        <f t="shared" si="69"/>
        <v>0</v>
      </c>
      <c r="V103" s="45">
        <f t="shared" si="69"/>
        <v>0</v>
      </c>
      <c r="W103" s="45">
        <f t="shared" si="69"/>
        <v>0</v>
      </c>
      <c r="X103" s="45">
        <f t="shared" si="69"/>
        <v>0</v>
      </c>
      <c r="Y103" s="45">
        <f t="shared" si="69"/>
        <v>0</v>
      </c>
      <c r="Z103" s="45">
        <f t="shared" si="69"/>
        <v>0</v>
      </c>
      <c r="AA103" s="45">
        <f t="shared" si="69"/>
        <v>0</v>
      </c>
      <c r="AB103" s="45">
        <f t="shared" ref="AB103:AM111" si="70">IF($G103=AB$1,VLOOKUP($J103,$AP:$AQ,2,FALSE),IF($H103=AB$1,70,0))</f>
        <v>0</v>
      </c>
      <c r="AC103" s="45">
        <f t="shared" si="70"/>
        <v>0</v>
      </c>
      <c r="AD103" s="45">
        <f t="shared" si="70"/>
        <v>0</v>
      </c>
      <c r="AE103" s="45">
        <f t="shared" si="70"/>
        <v>0</v>
      </c>
      <c r="AF103" s="45">
        <f t="shared" si="70"/>
        <v>0</v>
      </c>
      <c r="AG103" s="45">
        <f t="shared" si="70"/>
        <v>0</v>
      </c>
      <c r="AH103" s="45">
        <f t="shared" si="70"/>
        <v>0</v>
      </c>
      <c r="AI103" s="45">
        <f t="shared" si="70"/>
        <v>0</v>
      </c>
      <c r="AJ103" s="45">
        <f t="shared" si="70"/>
        <v>0</v>
      </c>
      <c r="AK103" s="45">
        <f t="shared" si="70"/>
        <v>0</v>
      </c>
      <c r="AL103" s="45">
        <f t="shared" si="70"/>
        <v>0</v>
      </c>
      <c r="AM103" s="45">
        <f t="shared" si="70"/>
        <v>0</v>
      </c>
    </row>
    <row r="104" spans="1:41" x14ac:dyDescent="0.25">
      <c r="A104" s="65" t="s">
        <v>99</v>
      </c>
      <c r="B104" s="66" t="s">
        <v>96</v>
      </c>
      <c r="C104" s="67">
        <v>4</v>
      </c>
      <c r="D104" s="68" t="s">
        <v>206</v>
      </c>
      <c r="E104" s="69">
        <v>46095</v>
      </c>
      <c r="F104" s="200">
        <v>0.58333333333333337</v>
      </c>
      <c r="G104" s="209" t="s">
        <v>106</v>
      </c>
      <c r="H104" s="220"/>
      <c r="I104" s="171" t="s">
        <v>187</v>
      </c>
      <c r="J104" s="172" t="s">
        <v>188</v>
      </c>
      <c r="K104" s="3">
        <f>WEEKDAY(E104)</f>
        <v>7</v>
      </c>
      <c r="L104">
        <f>IF(G104=L$1,1,IF(H104=L$1,1,""))</f>
        <v>1</v>
      </c>
      <c r="M104" s="45">
        <f t="shared" si="52"/>
        <v>85</v>
      </c>
      <c r="N104" s="48">
        <f>IF(H104&lt;&gt;"",20,10)</f>
        <v>10</v>
      </c>
      <c r="O104" s="45">
        <f t="shared" si="56"/>
        <v>0</v>
      </c>
      <c r="P104" s="45">
        <f t="shared" si="56"/>
        <v>0</v>
      </c>
      <c r="Q104" s="45">
        <f t="shared" si="68"/>
        <v>0</v>
      </c>
      <c r="R104" s="45">
        <f t="shared" si="69"/>
        <v>0</v>
      </c>
      <c r="S104" s="45">
        <f t="shared" si="69"/>
        <v>0</v>
      </c>
      <c r="T104" s="45">
        <f t="shared" si="69"/>
        <v>0</v>
      </c>
      <c r="U104" s="45">
        <f t="shared" si="69"/>
        <v>0</v>
      </c>
      <c r="V104" s="45">
        <f t="shared" si="69"/>
        <v>0</v>
      </c>
      <c r="W104" s="45">
        <f t="shared" si="69"/>
        <v>0</v>
      </c>
      <c r="X104" s="45">
        <f t="shared" si="69"/>
        <v>0</v>
      </c>
      <c r="Y104" s="45">
        <f t="shared" si="69"/>
        <v>0</v>
      </c>
      <c r="Z104" s="45">
        <f t="shared" si="69"/>
        <v>0</v>
      </c>
      <c r="AA104" s="45">
        <f t="shared" si="69"/>
        <v>0</v>
      </c>
      <c r="AB104" s="45">
        <f t="shared" si="70"/>
        <v>0</v>
      </c>
      <c r="AC104" s="45">
        <f t="shared" si="70"/>
        <v>0</v>
      </c>
      <c r="AD104" s="45">
        <f t="shared" si="70"/>
        <v>75</v>
      </c>
      <c r="AE104" s="45">
        <f t="shared" si="70"/>
        <v>0</v>
      </c>
      <c r="AF104" s="45">
        <f t="shared" si="70"/>
        <v>0</v>
      </c>
      <c r="AG104" s="45">
        <f t="shared" si="70"/>
        <v>0</v>
      </c>
      <c r="AH104" s="45">
        <f t="shared" si="70"/>
        <v>0</v>
      </c>
      <c r="AI104" s="45">
        <f t="shared" si="70"/>
        <v>0</v>
      </c>
      <c r="AJ104" s="45">
        <f t="shared" si="70"/>
        <v>0</v>
      </c>
      <c r="AK104" s="45">
        <f t="shared" si="70"/>
        <v>0</v>
      </c>
      <c r="AL104" s="45">
        <f t="shared" si="70"/>
        <v>0</v>
      </c>
      <c r="AM104" s="45">
        <f t="shared" si="70"/>
        <v>0</v>
      </c>
    </row>
    <row r="105" spans="1:41" x14ac:dyDescent="0.25">
      <c r="A105" s="16" t="s">
        <v>93</v>
      </c>
      <c r="B105" s="17" t="s">
        <v>95</v>
      </c>
      <c r="C105" s="32">
        <v>4</v>
      </c>
      <c r="D105" s="18" t="s">
        <v>206</v>
      </c>
      <c r="E105" s="42">
        <v>46095</v>
      </c>
      <c r="F105" s="195">
        <v>0.6875</v>
      </c>
      <c r="G105" s="209" t="s">
        <v>23</v>
      </c>
      <c r="H105" s="217"/>
      <c r="I105" s="171" t="s">
        <v>187</v>
      </c>
      <c r="J105" s="172" t="s">
        <v>188</v>
      </c>
      <c r="K105" s="3">
        <f>WEEKDAY(E105)</f>
        <v>7</v>
      </c>
      <c r="L105">
        <f>IF(G105=L$1,1,IF(H105=L$1,1,""))</f>
        <v>1</v>
      </c>
      <c r="M105" s="45">
        <f t="shared" si="52"/>
        <v>85</v>
      </c>
      <c r="N105" s="48">
        <f>IF(H105&lt;&gt;"",20,10)</f>
        <v>10</v>
      </c>
      <c r="O105" s="45">
        <f t="shared" si="56"/>
        <v>0</v>
      </c>
      <c r="P105" s="45">
        <f t="shared" si="56"/>
        <v>0</v>
      </c>
      <c r="Q105" s="45">
        <f t="shared" si="68"/>
        <v>0</v>
      </c>
      <c r="R105" s="45">
        <f t="shared" si="69"/>
        <v>0</v>
      </c>
      <c r="S105" s="45">
        <f t="shared" si="69"/>
        <v>0</v>
      </c>
      <c r="T105" s="45">
        <f t="shared" si="69"/>
        <v>0</v>
      </c>
      <c r="U105" s="45">
        <f t="shared" si="69"/>
        <v>0</v>
      </c>
      <c r="V105" s="45">
        <f t="shared" si="69"/>
        <v>0</v>
      </c>
      <c r="W105" s="45">
        <f t="shared" si="69"/>
        <v>0</v>
      </c>
      <c r="X105" s="45">
        <f t="shared" si="69"/>
        <v>0</v>
      </c>
      <c r="Y105" s="45">
        <f t="shared" si="69"/>
        <v>75</v>
      </c>
      <c r="Z105" s="45">
        <f t="shared" si="69"/>
        <v>0</v>
      </c>
      <c r="AA105" s="45">
        <f t="shared" si="69"/>
        <v>0</v>
      </c>
      <c r="AB105" s="45">
        <f t="shared" si="70"/>
        <v>0</v>
      </c>
      <c r="AC105" s="45">
        <f t="shared" si="70"/>
        <v>0</v>
      </c>
      <c r="AD105" s="45">
        <f t="shared" si="70"/>
        <v>0</v>
      </c>
      <c r="AE105" s="45">
        <f t="shared" si="70"/>
        <v>0</v>
      </c>
      <c r="AF105" s="45">
        <f t="shared" si="70"/>
        <v>0</v>
      </c>
      <c r="AG105" s="45">
        <f t="shared" si="70"/>
        <v>0</v>
      </c>
      <c r="AH105" s="45">
        <f t="shared" si="70"/>
        <v>0</v>
      </c>
      <c r="AI105" s="45">
        <f t="shared" si="70"/>
        <v>0</v>
      </c>
      <c r="AJ105" s="45">
        <f t="shared" si="70"/>
        <v>0</v>
      </c>
      <c r="AK105" s="45">
        <f t="shared" si="70"/>
        <v>0</v>
      </c>
      <c r="AL105" s="45">
        <f t="shared" si="70"/>
        <v>0</v>
      </c>
      <c r="AM105" s="45">
        <f t="shared" si="70"/>
        <v>0</v>
      </c>
    </row>
    <row r="106" spans="1:41" x14ac:dyDescent="0.25">
      <c r="A106" s="7" t="s">
        <v>94</v>
      </c>
      <c r="B106" s="8" t="s">
        <v>95</v>
      </c>
      <c r="C106" s="28">
        <v>4</v>
      </c>
      <c r="D106" s="9" t="s">
        <v>206</v>
      </c>
      <c r="E106" s="37">
        <v>46096</v>
      </c>
      <c r="F106" s="196">
        <v>0.375</v>
      </c>
      <c r="G106" s="210" t="s">
        <v>102</v>
      </c>
      <c r="H106" s="206"/>
      <c r="I106" s="173" t="s">
        <v>186</v>
      </c>
      <c r="J106" s="174" t="s">
        <v>189</v>
      </c>
      <c r="K106" s="3">
        <f t="shared" ref="K106:K111" si="71">WEEKDAY(E106)</f>
        <v>1</v>
      </c>
      <c r="L106">
        <f t="shared" ref="L106:L112" si="72">IF(G106=L$1,1,IF(H106=L$1,1,""))</f>
        <v>1</v>
      </c>
      <c r="M106" s="45">
        <f t="shared" si="52"/>
        <v>80</v>
      </c>
      <c r="N106" s="48">
        <f t="shared" ref="N106:N111" si="73">IF(H106&lt;&gt;"",20,10)</f>
        <v>10</v>
      </c>
      <c r="O106" s="45">
        <f t="shared" si="56"/>
        <v>0</v>
      </c>
      <c r="P106" s="45">
        <f t="shared" si="56"/>
        <v>0</v>
      </c>
      <c r="Q106" s="45">
        <f t="shared" si="68"/>
        <v>0</v>
      </c>
      <c r="R106" s="45">
        <f t="shared" si="69"/>
        <v>0</v>
      </c>
      <c r="S106" s="45">
        <f t="shared" si="69"/>
        <v>0</v>
      </c>
      <c r="T106" s="45">
        <f t="shared" si="69"/>
        <v>0</v>
      </c>
      <c r="U106" s="45">
        <f t="shared" si="69"/>
        <v>0</v>
      </c>
      <c r="V106" s="45">
        <f t="shared" si="69"/>
        <v>0</v>
      </c>
      <c r="W106" s="45">
        <f t="shared" si="69"/>
        <v>0</v>
      </c>
      <c r="X106" s="45">
        <f t="shared" si="69"/>
        <v>70</v>
      </c>
      <c r="Y106" s="45">
        <f t="shared" si="69"/>
        <v>0</v>
      </c>
      <c r="Z106" s="45">
        <f t="shared" si="69"/>
        <v>0</v>
      </c>
      <c r="AA106" s="45">
        <f t="shared" si="69"/>
        <v>0</v>
      </c>
      <c r="AB106" s="45">
        <f t="shared" si="70"/>
        <v>0</v>
      </c>
      <c r="AC106" s="45">
        <f t="shared" si="70"/>
        <v>0</v>
      </c>
      <c r="AD106" s="45">
        <f t="shared" si="70"/>
        <v>0</v>
      </c>
      <c r="AE106" s="45">
        <f t="shared" si="70"/>
        <v>0</v>
      </c>
      <c r="AF106" s="45">
        <f t="shared" si="70"/>
        <v>0</v>
      </c>
      <c r="AG106" s="45">
        <f t="shared" si="70"/>
        <v>0</v>
      </c>
      <c r="AH106" s="45">
        <f t="shared" si="70"/>
        <v>0</v>
      </c>
      <c r="AI106" s="45">
        <f t="shared" si="70"/>
        <v>0</v>
      </c>
      <c r="AJ106" s="45">
        <f t="shared" si="70"/>
        <v>0</v>
      </c>
      <c r="AK106" s="45">
        <f t="shared" si="70"/>
        <v>0</v>
      </c>
      <c r="AL106" s="45">
        <f t="shared" si="70"/>
        <v>0</v>
      </c>
      <c r="AM106" s="45">
        <f t="shared" si="70"/>
        <v>0</v>
      </c>
    </row>
    <row r="107" spans="1:41" x14ac:dyDescent="0.25">
      <c r="A107" s="7" t="s">
        <v>93</v>
      </c>
      <c r="B107" s="8" t="s">
        <v>89</v>
      </c>
      <c r="C107" s="28">
        <v>4</v>
      </c>
      <c r="D107" s="9" t="s">
        <v>206</v>
      </c>
      <c r="E107" s="37">
        <v>46096</v>
      </c>
      <c r="F107" s="196">
        <v>0.47916666666666669</v>
      </c>
      <c r="G107" s="210" t="s">
        <v>102</v>
      </c>
      <c r="H107" s="206"/>
      <c r="I107" s="173" t="s">
        <v>186</v>
      </c>
      <c r="J107" s="174" t="s">
        <v>189</v>
      </c>
      <c r="K107" s="3">
        <f t="shared" si="71"/>
        <v>1</v>
      </c>
      <c r="L107">
        <f t="shared" si="72"/>
        <v>1</v>
      </c>
      <c r="M107" s="45">
        <f t="shared" si="52"/>
        <v>80</v>
      </c>
      <c r="N107" s="48">
        <f t="shared" si="73"/>
        <v>10</v>
      </c>
      <c r="O107" s="45">
        <f t="shared" si="56"/>
        <v>0</v>
      </c>
      <c r="P107" s="45">
        <f t="shared" si="56"/>
        <v>0</v>
      </c>
      <c r="Q107" s="45">
        <f t="shared" si="68"/>
        <v>0</v>
      </c>
      <c r="R107" s="45">
        <f t="shared" si="69"/>
        <v>0</v>
      </c>
      <c r="S107" s="45">
        <f t="shared" si="69"/>
        <v>0</v>
      </c>
      <c r="T107" s="45">
        <f t="shared" si="69"/>
        <v>0</v>
      </c>
      <c r="U107" s="45">
        <f t="shared" si="69"/>
        <v>0</v>
      </c>
      <c r="V107" s="45">
        <f t="shared" si="69"/>
        <v>0</v>
      </c>
      <c r="W107" s="45">
        <f t="shared" si="69"/>
        <v>0</v>
      </c>
      <c r="X107" s="45">
        <f t="shared" si="69"/>
        <v>70</v>
      </c>
      <c r="Y107" s="45">
        <f t="shared" si="69"/>
        <v>0</v>
      </c>
      <c r="Z107" s="45">
        <f t="shared" si="69"/>
        <v>0</v>
      </c>
      <c r="AA107" s="45">
        <f t="shared" si="69"/>
        <v>0</v>
      </c>
      <c r="AB107" s="45">
        <f t="shared" si="70"/>
        <v>0</v>
      </c>
      <c r="AC107" s="45">
        <f t="shared" si="70"/>
        <v>0</v>
      </c>
      <c r="AD107" s="45">
        <f t="shared" si="70"/>
        <v>0</v>
      </c>
      <c r="AE107" s="45">
        <f t="shared" si="70"/>
        <v>0</v>
      </c>
      <c r="AF107" s="45">
        <f t="shared" si="70"/>
        <v>0</v>
      </c>
      <c r="AG107" s="45">
        <f t="shared" si="70"/>
        <v>0</v>
      </c>
      <c r="AH107" s="45">
        <f t="shared" si="70"/>
        <v>0</v>
      </c>
      <c r="AI107" s="45">
        <f t="shared" si="70"/>
        <v>0</v>
      </c>
      <c r="AJ107" s="45">
        <f t="shared" si="70"/>
        <v>0</v>
      </c>
      <c r="AK107" s="45">
        <f t="shared" si="70"/>
        <v>0</v>
      </c>
      <c r="AL107" s="45">
        <f t="shared" si="70"/>
        <v>0</v>
      </c>
      <c r="AM107" s="45">
        <f t="shared" si="70"/>
        <v>0</v>
      </c>
    </row>
    <row r="108" spans="1:41" x14ac:dyDescent="0.25">
      <c r="A108" s="7" t="s">
        <v>90</v>
      </c>
      <c r="B108" s="8" t="s">
        <v>92</v>
      </c>
      <c r="C108" s="28">
        <v>4</v>
      </c>
      <c r="D108" s="9" t="s">
        <v>206</v>
      </c>
      <c r="E108" s="37">
        <v>46096</v>
      </c>
      <c r="F108" s="196">
        <v>0.58333333333333337</v>
      </c>
      <c r="G108" s="210" t="s">
        <v>75</v>
      </c>
      <c r="H108" s="206"/>
      <c r="I108" s="173" t="s">
        <v>186</v>
      </c>
      <c r="J108" s="174" t="s">
        <v>189</v>
      </c>
      <c r="K108" s="3">
        <f t="shared" si="71"/>
        <v>1</v>
      </c>
      <c r="L108">
        <f t="shared" si="72"/>
        <v>1</v>
      </c>
      <c r="M108" s="45">
        <f t="shared" si="52"/>
        <v>80</v>
      </c>
      <c r="N108" s="48">
        <f t="shared" si="73"/>
        <v>10</v>
      </c>
      <c r="O108" s="45">
        <f t="shared" si="56"/>
        <v>0</v>
      </c>
      <c r="P108" s="45">
        <f t="shared" si="56"/>
        <v>0</v>
      </c>
      <c r="Q108" s="45">
        <f t="shared" si="68"/>
        <v>0</v>
      </c>
      <c r="R108" s="45">
        <f t="shared" si="69"/>
        <v>0</v>
      </c>
      <c r="S108" s="45">
        <f t="shared" si="69"/>
        <v>0</v>
      </c>
      <c r="T108" s="45">
        <f t="shared" si="69"/>
        <v>0</v>
      </c>
      <c r="U108" s="45">
        <f t="shared" si="69"/>
        <v>0</v>
      </c>
      <c r="V108" s="45">
        <f t="shared" si="69"/>
        <v>0</v>
      </c>
      <c r="W108" s="45">
        <f t="shared" si="69"/>
        <v>0</v>
      </c>
      <c r="X108" s="45">
        <f t="shared" si="69"/>
        <v>0</v>
      </c>
      <c r="Y108" s="45">
        <f t="shared" si="69"/>
        <v>0</v>
      </c>
      <c r="Z108" s="45">
        <f t="shared" si="69"/>
        <v>0</v>
      </c>
      <c r="AA108" s="45">
        <f t="shared" si="69"/>
        <v>0</v>
      </c>
      <c r="AB108" s="45">
        <f t="shared" si="70"/>
        <v>0</v>
      </c>
      <c r="AC108" s="45">
        <f t="shared" si="70"/>
        <v>70</v>
      </c>
      <c r="AD108" s="45">
        <f t="shared" si="70"/>
        <v>0</v>
      </c>
      <c r="AE108" s="45">
        <f t="shared" si="70"/>
        <v>0</v>
      </c>
      <c r="AF108" s="45">
        <f t="shared" si="70"/>
        <v>0</v>
      </c>
      <c r="AG108" s="45">
        <f t="shared" si="70"/>
        <v>0</v>
      </c>
      <c r="AH108" s="45">
        <f t="shared" si="70"/>
        <v>0</v>
      </c>
      <c r="AI108" s="45">
        <f t="shared" si="70"/>
        <v>0</v>
      </c>
      <c r="AJ108" s="45">
        <f t="shared" si="70"/>
        <v>0</v>
      </c>
      <c r="AK108" s="45">
        <f t="shared" si="70"/>
        <v>0</v>
      </c>
      <c r="AL108" s="45">
        <f t="shared" si="70"/>
        <v>0</v>
      </c>
      <c r="AM108" s="45">
        <f t="shared" si="70"/>
        <v>0</v>
      </c>
    </row>
    <row r="109" spans="1:41" x14ac:dyDescent="0.25">
      <c r="A109" s="7" t="s">
        <v>100</v>
      </c>
      <c r="B109" s="8" t="s">
        <v>99</v>
      </c>
      <c r="C109" s="28">
        <v>4</v>
      </c>
      <c r="D109" s="9" t="s">
        <v>206</v>
      </c>
      <c r="E109" s="37">
        <v>46096</v>
      </c>
      <c r="F109" s="196">
        <v>0.375</v>
      </c>
      <c r="G109" s="210" t="s">
        <v>108</v>
      </c>
      <c r="H109" s="206"/>
      <c r="I109" s="173" t="s">
        <v>187</v>
      </c>
      <c r="J109" s="174" t="s">
        <v>189</v>
      </c>
      <c r="K109" s="3">
        <f t="shared" si="71"/>
        <v>1</v>
      </c>
      <c r="L109">
        <f t="shared" si="72"/>
        <v>1</v>
      </c>
      <c r="M109" s="45">
        <f t="shared" si="52"/>
        <v>80</v>
      </c>
      <c r="N109" s="48">
        <f t="shared" si="73"/>
        <v>10</v>
      </c>
      <c r="O109" s="45">
        <f t="shared" si="56"/>
        <v>0</v>
      </c>
      <c r="P109" s="45">
        <f t="shared" si="56"/>
        <v>0</v>
      </c>
      <c r="Q109" s="45">
        <f t="shared" si="68"/>
        <v>0</v>
      </c>
      <c r="R109" s="45">
        <f t="shared" si="69"/>
        <v>0</v>
      </c>
      <c r="S109" s="45">
        <f t="shared" si="69"/>
        <v>0</v>
      </c>
      <c r="T109" s="45">
        <f t="shared" si="69"/>
        <v>0</v>
      </c>
      <c r="U109" s="45">
        <f t="shared" si="69"/>
        <v>0</v>
      </c>
      <c r="V109" s="45">
        <f t="shared" si="69"/>
        <v>0</v>
      </c>
      <c r="W109" s="45">
        <f t="shared" si="69"/>
        <v>0</v>
      </c>
      <c r="X109" s="45">
        <f t="shared" si="69"/>
        <v>0</v>
      </c>
      <c r="Y109" s="45">
        <f t="shared" si="69"/>
        <v>0</v>
      </c>
      <c r="Z109" s="45">
        <f t="shared" si="69"/>
        <v>0</v>
      </c>
      <c r="AA109" s="45">
        <f t="shared" si="69"/>
        <v>0</v>
      </c>
      <c r="AB109" s="45">
        <f t="shared" si="70"/>
        <v>0</v>
      </c>
      <c r="AC109" s="45">
        <f t="shared" si="70"/>
        <v>0</v>
      </c>
      <c r="AD109" s="45">
        <f t="shared" si="70"/>
        <v>0</v>
      </c>
      <c r="AE109" s="45">
        <f t="shared" si="70"/>
        <v>0</v>
      </c>
      <c r="AF109" s="45">
        <f t="shared" si="70"/>
        <v>70</v>
      </c>
      <c r="AG109" s="45">
        <f t="shared" si="70"/>
        <v>0</v>
      </c>
      <c r="AH109" s="45">
        <f t="shared" si="70"/>
        <v>0</v>
      </c>
      <c r="AI109" s="45">
        <f t="shared" si="70"/>
        <v>0</v>
      </c>
      <c r="AJ109" s="45">
        <f t="shared" si="70"/>
        <v>0</v>
      </c>
      <c r="AK109" s="45">
        <f t="shared" si="70"/>
        <v>0</v>
      </c>
      <c r="AL109" s="45">
        <f t="shared" si="70"/>
        <v>0</v>
      </c>
      <c r="AM109" s="45">
        <f t="shared" si="70"/>
        <v>0</v>
      </c>
    </row>
    <row r="110" spans="1:41" x14ac:dyDescent="0.25">
      <c r="A110" s="7" t="s">
        <v>96</v>
      </c>
      <c r="B110" s="8" t="s">
        <v>97</v>
      </c>
      <c r="C110" s="28">
        <v>4</v>
      </c>
      <c r="D110" s="9" t="s">
        <v>206</v>
      </c>
      <c r="E110" s="37">
        <v>46096</v>
      </c>
      <c r="F110" s="196">
        <v>0.47916666666666669</v>
      </c>
      <c r="G110" s="210" t="s">
        <v>23</v>
      </c>
      <c r="H110" s="206"/>
      <c r="I110" s="173" t="s">
        <v>187</v>
      </c>
      <c r="J110" s="174" t="s">
        <v>189</v>
      </c>
      <c r="K110" s="3">
        <f t="shared" si="71"/>
        <v>1</v>
      </c>
      <c r="L110">
        <f t="shared" si="72"/>
        <v>1</v>
      </c>
      <c r="M110" s="45">
        <f t="shared" si="52"/>
        <v>80</v>
      </c>
      <c r="N110" s="48">
        <f t="shared" si="73"/>
        <v>10</v>
      </c>
      <c r="O110" s="45">
        <f t="shared" si="56"/>
        <v>0</v>
      </c>
      <c r="P110" s="45">
        <f t="shared" si="56"/>
        <v>0</v>
      </c>
      <c r="Q110" s="45">
        <f t="shared" si="68"/>
        <v>0</v>
      </c>
      <c r="R110" s="45">
        <f t="shared" si="69"/>
        <v>0</v>
      </c>
      <c r="S110" s="45">
        <f t="shared" si="69"/>
        <v>0</v>
      </c>
      <c r="T110" s="45">
        <f t="shared" si="69"/>
        <v>0</v>
      </c>
      <c r="U110" s="45">
        <f t="shared" si="69"/>
        <v>0</v>
      </c>
      <c r="V110" s="45">
        <f t="shared" si="69"/>
        <v>0</v>
      </c>
      <c r="W110" s="45">
        <f t="shared" si="69"/>
        <v>0</v>
      </c>
      <c r="X110" s="45">
        <f t="shared" si="69"/>
        <v>0</v>
      </c>
      <c r="Y110" s="45">
        <f t="shared" si="69"/>
        <v>70</v>
      </c>
      <c r="Z110" s="45">
        <f t="shared" si="69"/>
        <v>0</v>
      </c>
      <c r="AA110" s="45">
        <f t="shared" si="69"/>
        <v>0</v>
      </c>
      <c r="AB110" s="45">
        <f t="shared" si="70"/>
        <v>0</v>
      </c>
      <c r="AC110" s="45">
        <f t="shared" si="70"/>
        <v>0</v>
      </c>
      <c r="AD110" s="45">
        <f t="shared" si="70"/>
        <v>0</v>
      </c>
      <c r="AE110" s="45">
        <f t="shared" si="70"/>
        <v>0</v>
      </c>
      <c r="AF110" s="45">
        <f t="shared" si="70"/>
        <v>0</v>
      </c>
      <c r="AG110" s="45">
        <f t="shared" si="70"/>
        <v>0</v>
      </c>
      <c r="AH110" s="45">
        <f t="shared" si="70"/>
        <v>0</v>
      </c>
      <c r="AI110" s="45">
        <f t="shared" si="70"/>
        <v>0</v>
      </c>
      <c r="AJ110" s="45">
        <f t="shared" si="70"/>
        <v>0</v>
      </c>
      <c r="AK110" s="45">
        <f t="shared" si="70"/>
        <v>0</v>
      </c>
      <c r="AL110" s="45">
        <f t="shared" si="70"/>
        <v>0</v>
      </c>
      <c r="AM110" s="45">
        <f t="shared" si="70"/>
        <v>0</v>
      </c>
    </row>
    <row r="111" spans="1:41" ht="15.75" thickBot="1" x14ac:dyDescent="0.3">
      <c r="A111" s="10" t="s">
        <v>101</v>
      </c>
      <c r="B111" s="11" t="s">
        <v>98</v>
      </c>
      <c r="C111" s="33">
        <v>4</v>
      </c>
      <c r="D111" s="12" t="s">
        <v>206</v>
      </c>
      <c r="E111" s="43">
        <v>46096</v>
      </c>
      <c r="F111" s="201">
        <v>0.58333333333333337</v>
      </c>
      <c r="G111" s="221" t="s">
        <v>23</v>
      </c>
      <c r="H111" s="222"/>
      <c r="I111" s="175" t="s">
        <v>187</v>
      </c>
      <c r="J111" s="176" t="s">
        <v>189</v>
      </c>
      <c r="K111" s="3">
        <f t="shared" si="71"/>
        <v>1</v>
      </c>
      <c r="L111">
        <f t="shared" si="72"/>
        <v>1</v>
      </c>
      <c r="M111" s="45">
        <f t="shared" si="52"/>
        <v>80</v>
      </c>
      <c r="N111" s="48">
        <f t="shared" si="73"/>
        <v>10</v>
      </c>
      <c r="O111" s="45">
        <f t="shared" si="56"/>
        <v>0</v>
      </c>
      <c r="P111" s="45">
        <f t="shared" si="56"/>
        <v>0</v>
      </c>
      <c r="Q111" s="45">
        <f t="shared" si="68"/>
        <v>0</v>
      </c>
      <c r="R111" s="45">
        <f t="shared" si="69"/>
        <v>0</v>
      </c>
      <c r="S111" s="45">
        <f t="shared" si="69"/>
        <v>0</v>
      </c>
      <c r="T111" s="45">
        <f t="shared" si="69"/>
        <v>0</v>
      </c>
      <c r="U111" s="45">
        <f t="shared" si="69"/>
        <v>0</v>
      </c>
      <c r="V111" s="45">
        <f t="shared" si="69"/>
        <v>0</v>
      </c>
      <c r="W111" s="45">
        <f t="shared" si="69"/>
        <v>0</v>
      </c>
      <c r="X111" s="45">
        <f t="shared" si="69"/>
        <v>0</v>
      </c>
      <c r="Y111" s="45">
        <f t="shared" si="69"/>
        <v>70</v>
      </c>
      <c r="Z111" s="45">
        <f t="shared" si="69"/>
        <v>0</v>
      </c>
      <c r="AA111" s="45">
        <f t="shared" si="69"/>
        <v>0</v>
      </c>
      <c r="AB111" s="45">
        <f t="shared" si="70"/>
        <v>0</v>
      </c>
      <c r="AC111" s="45">
        <f t="shared" si="70"/>
        <v>0</v>
      </c>
      <c r="AD111" s="45">
        <f t="shared" si="70"/>
        <v>0</v>
      </c>
      <c r="AE111" s="45">
        <f t="shared" si="70"/>
        <v>0</v>
      </c>
      <c r="AF111" s="45">
        <f t="shared" si="70"/>
        <v>0</v>
      </c>
      <c r="AG111" s="45">
        <f t="shared" si="70"/>
        <v>0</v>
      </c>
      <c r="AH111" s="45">
        <f t="shared" si="70"/>
        <v>0</v>
      </c>
      <c r="AI111" s="45">
        <f t="shared" si="70"/>
        <v>0</v>
      </c>
      <c r="AJ111" s="45">
        <f t="shared" si="70"/>
        <v>0</v>
      </c>
      <c r="AK111" s="45">
        <f t="shared" si="70"/>
        <v>0</v>
      </c>
      <c r="AL111" s="45">
        <f t="shared" si="70"/>
        <v>0</v>
      </c>
      <c r="AM111" s="45">
        <f t="shared" si="70"/>
        <v>0</v>
      </c>
    </row>
    <row r="112" spans="1:41" ht="13.5" customHeight="1" thickBot="1" x14ac:dyDescent="0.3">
      <c r="A112" s="98"/>
      <c r="B112" s="99"/>
      <c r="C112" s="100"/>
      <c r="D112" s="101"/>
      <c r="E112" s="102"/>
      <c r="F112" s="197"/>
      <c r="G112" s="212"/>
      <c r="H112" s="204"/>
      <c r="I112" s="187"/>
      <c r="J112" s="51" t="str">
        <f>"Totals for " &amp; D111 &amp;"…"</f>
        <v>Totals for Mar 9-Mar 15…</v>
      </c>
      <c r="K112" s="3">
        <v>9</v>
      </c>
      <c r="L112">
        <f t="shared" si="72"/>
        <v>1</v>
      </c>
      <c r="M112" s="52">
        <f t="shared" si="52"/>
        <v>3085</v>
      </c>
      <c r="N112" s="49">
        <f t="shared" ref="N112:AM112" si="74">SUM(N81:N111)</f>
        <v>370</v>
      </c>
      <c r="O112" s="53">
        <f t="shared" si="74"/>
        <v>245</v>
      </c>
      <c r="P112" s="53">
        <f t="shared" si="74"/>
        <v>365</v>
      </c>
      <c r="Q112" s="53">
        <f t="shared" si="74"/>
        <v>140</v>
      </c>
      <c r="R112" s="53">
        <f t="shared" si="74"/>
        <v>145</v>
      </c>
      <c r="S112" s="53">
        <f t="shared" si="74"/>
        <v>235</v>
      </c>
      <c r="T112" s="49">
        <f t="shared" si="74"/>
        <v>0</v>
      </c>
      <c r="U112" s="53">
        <f t="shared" si="74"/>
        <v>150</v>
      </c>
      <c r="V112" s="53">
        <f t="shared" si="74"/>
        <v>150</v>
      </c>
      <c r="W112" s="53">
        <f t="shared" si="74"/>
        <v>215</v>
      </c>
      <c r="X112" s="53">
        <f t="shared" si="74"/>
        <v>140</v>
      </c>
      <c r="Y112" s="53">
        <f t="shared" si="74"/>
        <v>285</v>
      </c>
      <c r="Z112" s="53">
        <f t="shared" si="74"/>
        <v>75</v>
      </c>
      <c r="AA112" s="53">
        <f t="shared" si="74"/>
        <v>140</v>
      </c>
      <c r="AB112" s="53">
        <f t="shared" si="74"/>
        <v>0</v>
      </c>
      <c r="AC112" s="53">
        <f t="shared" si="74"/>
        <v>70</v>
      </c>
      <c r="AD112" s="53">
        <f t="shared" si="74"/>
        <v>290</v>
      </c>
      <c r="AE112" s="53">
        <f t="shared" si="74"/>
        <v>0</v>
      </c>
      <c r="AF112" s="53">
        <f t="shared" si="74"/>
        <v>70</v>
      </c>
      <c r="AG112" s="53">
        <f t="shared" si="74"/>
        <v>0</v>
      </c>
      <c r="AH112" s="53">
        <f t="shared" si="74"/>
        <v>0</v>
      </c>
      <c r="AI112" s="53">
        <f t="shared" si="74"/>
        <v>0</v>
      </c>
      <c r="AJ112" s="53">
        <f t="shared" si="74"/>
        <v>0</v>
      </c>
      <c r="AK112" s="53">
        <f t="shared" si="74"/>
        <v>0</v>
      </c>
      <c r="AL112" s="53">
        <f t="shared" si="74"/>
        <v>0</v>
      </c>
      <c r="AM112" s="53">
        <f t="shared" si="74"/>
        <v>0</v>
      </c>
      <c r="AN112" s="96">
        <f>SUM(N112:AM112)</f>
        <v>3085</v>
      </c>
      <c r="AO112" s="97"/>
    </row>
    <row r="116" ht="13.5" customHeight="1" x14ac:dyDescent="0.25"/>
    <row r="147" ht="18" customHeight="1" x14ac:dyDescent="0.25"/>
    <row r="176" ht="15" customHeight="1" x14ac:dyDescent="0.25"/>
    <row r="182" spans="1:41" s="70" customFormat="1" x14ac:dyDescent="0.25">
      <c r="A182" s="6"/>
      <c r="B182" s="6"/>
      <c r="C182" s="35"/>
      <c r="D182" s="5"/>
      <c r="E182" s="44"/>
      <c r="F182" s="202"/>
      <c r="G182" s="223"/>
      <c r="H182" s="224"/>
      <c r="I182" s="50"/>
      <c r="J182" s="54"/>
      <c r="K182" s="4"/>
      <c r="L182"/>
      <c r="M182" s="50"/>
      <c r="N182" s="47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/>
      <c r="AN182"/>
      <c r="AO182"/>
    </row>
    <row r="193" spans="1:41" s="70" customFormat="1" x14ac:dyDescent="0.25">
      <c r="A193" s="6"/>
      <c r="B193" s="6"/>
      <c r="C193" s="35"/>
      <c r="D193" s="5"/>
      <c r="E193" s="44"/>
      <c r="F193" s="202"/>
      <c r="G193" s="223"/>
      <c r="H193" s="224"/>
      <c r="I193" s="50"/>
      <c r="J193" s="54"/>
      <c r="K193" s="4"/>
      <c r="L193"/>
      <c r="M193" s="50"/>
      <c r="N193" s="47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/>
      <c r="AN193"/>
      <c r="AO193"/>
    </row>
    <row r="208" spans="1:41" ht="15.75" customHeight="1" x14ac:dyDescent="0.25"/>
    <row r="224" ht="16.5" customHeight="1" x14ac:dyDescent="0.25"/>
    <row r="225" ht="18" customHeight="1" x14ac:dyDescent="0.25"/>
    <row r="226" ht="18" customHeight="1" x14ac:dyDescent="0.25"/>
    <row r="227" ht="18" customHeight="1" x14ac:dyDescent="0.25"/>
    <row r="253" ht="16.5" customHeight="1" x14ac:dyDescent="0.25"/>
    <row r="287" ht="16.5" customHeight="1" x14ac:dyDescent="0.25"/>
    <row r="320" ht="17.25" customHeight="1" x14ac:dyDescent="0.25"/>
    <row r="339" spans="1:41" ht="17.25" customHeight="1" x14ac:dyDescent="0.25"/>
    <row r="345" spans="1:41" s="76" customFormat="1" x14ac:dyDescent="0.25">
      <c r="A345" s="6"/>
      <c r="B345" s="6"/>
      <c r="C345" s="35"/>
      <c r="D345" s="5"/>
      <c r="E345" s="44"/>
      <c r="F345" s="202"/>
      <c r="G345" s="223"/>
      <c r="H345" s="224"/>
      <c r="I345" s="50"/>
      <c r="J345" s="54"/>
      <c r="K345" s="4"/>
      <c r="L345"/>
      <c r="M345" s="50"/>
      <c r="N345" s="47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  <c r="AG345" s="46"/>
      <c r="AH345" s="46"/>
      <c r="AI345" s="46"/>
      <c r="AJ345" s="46"/>
      <c r="AK345" s="46"/>
      <c r="AL345" s="46"/>
      <c r="AM345" s="46"/>
      <c r="AN345"/>
      <c r="AO345"/>
    </row>
    <row r="346" spans="1:41" s="76" customFormat="1" x14ac:dyDescent="0.25">
      <c r="A346" s="6"/>
      <c r="B346" s="6"/>
      <c r="C346" s="35"/>
      <c r="D346" s="5"/>
      <c r="E346" s="44"/>
      <c r="F346" s="202"/>
      <c r="G346" s="223"/>
      <c r="H346" s="224"/>
      <c r="I346" s="50"/>
      <c r="J346" s="54"/>
      <c r="K346" s="4"/>
      <c r="L346"/>
      <c r="M346" s="50"/>
      <c r="N346" s="47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  <c r="AG346" s="46"/>
      <c r="AH346" s="46"/>
      <c r="AI346" s="46"/>
      <c r="AJ346" s="46"/>
      <c r="AK346" s="46"/>
      <c r="AL346" s="46"/>
      <c r="AM346" s="46"/>
      <c r="AN346"/>
      <c r="AO346"/>
    </row>
    <row r="351" spans="1:41" ht="17.25" customHeight="1" x14ac:dyDescent="0.25"/>
    <row r="363" spans="1:41" s="80" customFormat="1" x14ac:dyDescent="0.25">
      <c r="A363" s="6"/>
      <c r="B363" s="6"/>
      <c r="C363" s="35"/>
      <c r="D363" s="5"/>
      <c r="E363" s="44"/>
      <c r="F363" s="202"/>
      <c r="G363" s="223"/>
      <c r="H363" s="224"/>
      <c r="I363" s="50"/>
      <c r="J363" s="54"/>
      <c r="K363" s="4"/>
      <c r="L363"/>
      <c r="M363" s="50"/>
      <c r="N363" s="47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  <c r="AG363" s="46"/>
      <c r="AH363" s="46"/>
      <c r="AI363" s="46"/>
      <c r="AJ363" s="46"/>
      <c r="AK363" s="46"/>
      <c r="AL363" s="46"/>
      <c r="AM363" s="46"/>
      <c r="AN363"/>
      <c r="AO363"/>
    </row>
    <row r="377" ht="17.25" customHeight="1" x14ac:dyDescent="0.25"/>
  </sheetData>
  <sortState xmlns:xlrd2="http://schemas.microsoft.com/office/spreadsheetml/2017/richdata2" ref="I35:J38">
    <sortCondition descending="1" ref="I35:I38"/>
    <sortCondition descending="1" ref="J35:J38"/>
  </sortState>
  <pageMargins left="0.25" right="0.25" top="0.25" bottom="0.25" header="0" footer="0"/>
  <pageSetup orientation="landscape" horizontalDpi="300" verticalDpi="300" r:id="rId1"/>
  <rowBreaks count="1" manualBreakCount="1">
    <brk id="20" max="12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C3560-9385-4149-9A25-0348DE56A84D}">
  <sheetPr codeName="Sheet8"/>
  <dimension ref="A1:C21"/>
  <sheetViews>
    <sheetView workbookViewId="0">
      <selection activeCell="B21" sqref="B21"/>
    </sheetView>
  </sheetViews>
  <sheetFormatPr defaultRowHeight="15" x14ac:dyDescent="0.25"/>
  <cols>
    <col min="3" max="3" width="9.140625" style="50"/>
  </cols>
  <sheetData>
    <row r="1" spans="1:3" x14ac:dyDescent="0.25">
      <c r="A1" t="s">
        <v>31</v>
      </c>
      <c r="B1">
        <v>350</v>
      </c>
    </row>
    <row r="2" spans="1:3" x14ac:dyDescent="0.25">
      <c r="A2" t="s">
        <v>19</v>
      </c>
      <c r="B2">
        <v>225</v>
      </c>
      <c r="C2" s="50" t="s">
        <v>209</v>
      </c>
    </row>
    <row r="3" spans="1:3" x14ac:dyDescent="0.25">
      <c r="A3" t="s">
        <v>18</v>
      </c>
      <c r="B3">
        <v>365</v>
      </c>
      <c r="C3" s="50" t="s">
        <v>209</v>
      </c>
    </row>
    <row r="4" spans="1:3" x14ac:dyDescent="0.25">
      <c r="A4" t="s">
        <v>22</v>
      </c>
      <c r="B4">
        <v>145</v>
      </c>
      <c r="C4" s="50" t="s">
        <v>209</v>
      </c>
    </row>
    <row r="5" spans="1:3" x14ac:dyDescent="0.25">
      <c r="A5" t="s">
        <v>24</v>
      </c>
      <c r="B5">
        <v>75</v>
      </c>
      <c r="C5" s="50">
        <v>75</v>
      </c>
    </row>
    <row r="6" spans="1:3" x14ac:dyDescent="0.25">
      <c r="A6" t="s">
        <v>20</v>
      </c>
      <c r="B6">
        <v>290</v>
      </c>
      <c r="C6" s="50" t="s">
        <v>209</v>
      </c>
    </row>
    <row r="8" spans="1:3" x14ac:dyDescent="0.25">
      <c r="A8" t="s">
        <v>73</v>
      </c>
      <c r="B8">
        <v>145</v>
      </c>
      <c r="C8" s="50" t="s">
        <v>209</v>
      </c>
    </row>
    <row r="9" spans="1:3" x14ac:dyDescent="0.25">
      <c r="A9" t="s">
        <v>21</v>
      </c>
      <c r="B9">
        <v>290</v>
      </c>
    </row>
    <row r="10" spans="1:3" x14ac:dyDescent="0.25">
      <c r="A10" t="s">
        <v>104</v>
      </c>
      <c r="B10">
        <v>75</v>
      </c>
      <c r="C10" s="50">
        <v>75</v>
      </c>
    </row>
    <row r="13" spans="1:3" x14ac:dyDescent="0.25">
      <c r="A13" t="s">
        <v>77</v>
      </c>
      <c r="B13">
        <v>75</v>
      </c>
      <c r="C13" s="50">
        <v>75</v>
      </c>
    </row>
    <row r="14" spans="1:3" x14ac:dyDescent="0.25">
      <c r="A14" t="s">
        <v>28</v>
      </c>
      <c r="B14">
        <v>140</v>
      </c>
      <c r="C14" s="50">
        <v>140</v>
      </c>
    </row>
    <row r="15" spans="1:3" x14ac:dyDescent="0.25">
      <c r="A15" t="s">
        <v>74</v>
      </c>
      <c r="B15">
        <v>70</v>
      </c>
      <c r="C15" s="50" t="s">
        <v>207</v>
      </c>
    </row>
    <row r="16" spans="1:3" x14ac:dyDescent="0.25">
      <c r="A16" t="s">
        <v>75</v>
      </c>
      <c r="B16">
        <v>140</v>
      </c>
      <c r="C16" s="50" t="s">
        <v>207</v>
      </c>
    </row>
    <row r="17" spans="1:3" x14ac:dyDescent="0.25">
      <c r="A17" t="s">
        <v>106</v>
      </c>
      <c r="B17">
        <v>215</v>
      </c>
      <c r="C17" s="50" t="s">
        <v>208</v>
      </c>
    </row>
    <row r="18" spans="1:3" x14ac:dyDescent="0.25">
      <c r="A18" t="s">
        <v>107</v>
      </c>
      <c r="B18">
        <v>215</v>
      </c>
      <c r="C18" s="50" t="s">
        <v>207</v>
      </c>
    </row>
    <row r="19" spans="1:3" x14ac:dyDescent="0.25">
      <c r="A19" t="s">
        <v>108</v>
      </c>
      <c r="B19">
        <v>70</v>
      </c>
      <c r="C19" s="50" t="s">
        <v>207</v>
      </c>
    </row>
    <row r="21" spans="1:3" x14ac:dyDescent="0.25">
      <c r="B21">
        <f>SUM(B1:B19)</f>
        <v>2885</v>
      </c>
    </row>
  </sheetData>
  <sortState xmlns:xlrd2="http://schemas.microsoft.com/office/spreadsheetml/2017/richdata2" ref="A1:B27">
    <sortCondition descending="1" ref="B1:B2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46963-F399-4200-AAB7-0ABDFCA1AF67}">
  <sheetPr codeName="Sheet5"/>
  <dimension ref="A1:F36"/>
  <sheetViews>
    <sheetView tabSelected="1" zoomScaleNormal="100" workbookViewId="0">
      <selection sqref="A1:F1"/>
    </sheetView>
  </sheetViews>
  <sheetFormatPr defaultRowHeight="12.75" x14ac:dyDescent="0.2"/>
  <cols>
    <col min="1" max="1" width="8.28515625" style="417" customWidth="1"/>
    <col min="2" max="2" width="8.140625" style="157" customWidth="1"/>
    <col min="3" max="3" width="7.28515625" style="157" customWidth="1"/>
    <col min="4" max="4" width="7.28515625" style="159" customWidth="1"/>
    <col min="5" max="6" width="5.140625" style="158" customWidth="1"/>
    <col min="7" max="16384" width="9.140625" style="156"/>
  </cols>
  <sheetData>
    <row r="1" spans="1:6" x14ac:dyDescent="0.2">
      <c r="A1" s="418" t="s">
        <v>210</v>
      </c>
      <c r="B1" s="419"/>
      <c r="C1" s="419"/>
      <c r="D1" s="419"/>
      <c r="E1" s="419"/>
      <c r="F1" s="420"/>
    </row>
    <row r="2" spans="1:6" ht="12" customHeight="1" x14ac:dyDescent="0.2">
      <c r="A2" s="416" t="s">
        <v>191</v>
      </c>
      <c r="B2" s="188" t="s">
        <v>116</v>
      </c>
      <c r="C2" s="188" t="s">
        <v>29</v>
      </c>
      <c r="D2" s="188" t="s">
        <v>5</v>
      </c>
      <c r="E2" s="188" t="s">
        <v>2</v>
      </c>
      <c r="F2" s="188" t="s">
        <v>3</v>
      </c>
    </row>
    <row r="3" spans="1:6" ht="12.95" customHeight="1" x14ac:dyDescent="0.2">
      <c r="A3" s="408">
        <v>46090</v>
      </c>
      <c r="B3" s="368">
        <v>0.70833333333333337</v>
      </c>
      <c r="C3" s="369" t="s">
        <v>73</v>
      </c>
      <c r="D3" s="387"/>
      <c r="E3" s="370" t="s">
        <v>186</v>
      </c>
      <c r="F3" s="388" t="s">
        <v>188</v>
      </c>
    </row>
    <row r="4" spans="1:6" ht="12.95" customHeight="1" x14ac:dyDescent="0.2">
      <c r="A4" s="408">
        <v>46090</v>
      </c>
      <c r="B4" s="368">
        <v>0.70833333333333337</v>
      </c>
      <c r="C4" s="369" t="s">
        <v>77</v>
      </c>
      <c r="D4" s="225"/>
      <c r="E4" s="370" t="s">
        <v>187</v>
      </c>
      <c r="F4" s="388" t="s">
        <v>188</v>
      </c>
    </row>
    <row r="5" spans="1:6" ht="12.95" customHeight="1" x14ac:dyDescent="0.2">
      <c r="A5" s="434">
        <v>46090</v>
      </c>
      <c r="B5" s="430">
        <v>0.75</v>
      </c>
      <c r="C5" s="431" t="s">
        <v>20</v>
      </c>
      <c r="D5" s="386"/>
      <c r="E5" s="432" t="s">
        <v>196</v>
      </c>
      <c r="F5" s="433" t="s">
        <v>196</v>
      </c>
    </row>
    <row r="6" spans="1:6" ht="12.95" customHeight="1" x14ac:dyDescent="0.2">
      <c r="A6" s="409">
        <v>46091</v>
      </c>
      <c r="B6" s="371">
        <v>0.6875</v>
      </c>
      <c r="C6" s="372" t="s">
        <v>18</v>
      </c>
      <c r="D6" s="225"/>
      <c r="E6" s="373" t="s">
        <v>186</v>
      </c>
      <c r="F6" s="389" t="s">
        <v>188</v>
      </c>
    </row>
    <row r="7" spans="1:6" ht="12.95" customHeight="1" x14ac:dyDescent="0.2">
      <c r="A7" s="410">
        <v>46091</v>
      </c>
      <c r="B7" s="374">
        <v>0.79166666666666663</v>
      </c>
      <c r="C7" s="375" t="s">
        <v>19</v>
      </c>
      <c r="D7" s="375" t="s">
        <v>18</v>
      </c>
      <c r="E7" s="376" t="s">
        <v>186</v>
      </c>
      <c r="F7" s="390" t="s">
        <v>190</v>
      </c>
    </row>
    <row r="8" spans="1:6" ht="12.95" customHeight="1" x14ac:dyDescent="0.2">
      <c r="A8" s="411">
        <v>46091</v>
      </c>
      <c r="B8" s="377">
        <v>0.6875</v>
      </c>
      <c r="C8" s="378" t="s">
        <v>28</v>
      </c>
      <c r="D8" s="225"/>
      <c r="E8" s="379" t="s">
        <v>187</v>
      </c>
      <c r="F8" s="391" t="s">
        <v>189</v>
      </c>
    </row>
    <row r="9" spans="1:6" ht="12.95" customHeight="1" x14ac:dyDescent="0.2">
      <c r="A9" s="409">
        <v>46091</v>
      </c>
      <c r="B9" s="371">
        <v>0.79166666666666663</v>
      </c>
      <c r="C9" s="372" t="s">
        <v>24</v>
      </c>
      <c r="D9" s="225"/>
      <c r="E9" s="373" t="s">
        <v>187</v>
      </c>
      <c r="F9" s="389" t="s">
        <v>188</v>
      </c>
    </row>
    <row r="10" spans="1:6" ht="12.95" customHeight="1" x14ac:dyDescent="0.2">
      <c r="A10" s="412">
        <v>46092</v>
      </c>
      <c r="B10" s="380">
        <v>0.70833333333333337</v>
      </c>
      <c r="C10" s="381" t="s">
        <v>21</v>
      </c>
      <c r="D10" s="381" t="s">
        <v>24</v>
      </c>
      <c r="E10" s="382" t="s">
        <v>186</v>
      </c>
      <c r="F10" s="392" t="s">
        <v>190</v>
      </c>
    </row>
    <row r="11" spans="1:6" ht="12.95" customHeight="1" x14ac:dyDescent="0.2">
      <c r="A11" s="413">
        <v>46092</v>
      </c>
      <c r="B11" s="383">
        <v>0.70833333333333337</v>
      </c>
      <c r="C11" s="384" t="s">
        <v>23</v>
      </c>
      <c r="D11" s="225"/>
      <c r="E11" s="385" t="s">
        <v>187</v>
      </c>
      <c r="F11" s="393" t="s">
        <v>189</v>
      </c>
    </row>
    <row r="12" spans="1:6" ht="12.95" customHeight="1" x14ac:dyDescent="0.2">
      <c r="A12" s="411">
        <v>46093</v>
      </c>
      <c r="B12" s="377">
        <v>0.6875</v>
      </c>
      <c r="C12" s="378" t="s">
        <v>28</v>
      </c>
      <c r="D12" s="225"/>
      <c r="E12" s="379" t="s">
        <v>186</v>
      </c>
      <c r="F12" s="391" t="s">
        <v>189</v>
      </c>
    </row>
    <row r="13" spans="1:6" ht="12.95" customHeight="1" x14ac:dyDescent="0.2">
      <c r="A13" s="410">
        <v>46093</v>
      </c>
      <c r="B13" s="374">
        <v>0.79166666666666663</v>
      </c>
      <c r="C13" s="375" t="s">
        <v>18</v>
      </c>
      <c r="D13" s="375" t="s">
        <v>22</v>
      </c>
      <c r="E13" s="376" t="s">
        <v>186</v>
      </c>
      <c r="F13" s="390" t="s">
        <v>190</v>
      </c>
    </row>
    <row r="14" spans="1:6" ht="12.95" customHeight="1" x14ac:dyDescent="0.2">
      <c r="A14" s="411">
        <v>46093</v>
      </c>
      <c r="B14" s="377">
        <v>0.6875</v>
      </c>
      <c r="C14" s="378" t="s">
        <v>106</v>
      </c>
      <c r="D14" s="225"/>
      <c r="E14" s="379" t="s">
        <v>187</v>
      </c>
      <c r="F14" s="391" t="s">
        <v>189</v>
      </c>
    </row>
    <row r="15" spans="1:6" ht="12.95" customHeight="1" x14ac:dyDescent="0.2">
      <c r="A15" s="409">
        <v>46093</v>
      </c>
      <c r="B15" s="371">
        <v>0.79166666666666663</v>
      </c>
      <c r="C15" s="372" t="s">
        <v>21</v>
      </c>
      <c r="D15" s="225"/>
      <c r="E15" s="373" t="s">
        <v>187</v>
      </c>
      <c r="F15" s="389" t="s">
        <v>188</v>
      </c>
    </row>
    <row r="16" spans="1:6" ht="12.95" customHeight="1" x14ac:dyDescent="0.2">
      <c r="A16" s="413">
        <v>46094</v>
      </c>
      <c r="B16" s="383">
        <v>0.6875</v>
      </c>
      <c r="C16" s="384" t="s">
        <v>104</v>
      </c>
      <c r="D16" s="225"/>
      <c r="E16" s="385" t="s">
        <v>186</v>
      </c>
      <c r="F16" s="393" t="s">
        <v>189</v>
      </c>
    </row>
    <row r="17" spans="1:6" ht="12.95" customHeight="1" x14ac:dyDescent="0.2">
      <c r="A17" s="413">
        <v>46094</v>
      </c>
      <c r="B17" s="383">
        <v>0.6875</v>
      </c>
      <c r="C17" s="384" t="s">
        <v>106</v>
      </c>
      <c r="D17" s="226"/>
      <c r="E17" s="385" t="s">
        <v>187</v>
      </c>
      <c r="F17" s="393" t="s">
        <v>189</v>
      </c>
    </row>
    <row r="19" spans="1:6" x14ac:dyDescent="0.2">
      <c r="A19" s="418" t="s">
        <v>211</v>
      </c>
      <c r="B19" s="419"/>
      <c r="C19" s="419"/>
      <c r="D19" s="419"/>
      <c r="E19" s="419"/>
      <c r="F19" s="420"/>
    </row>
    <row r="20" spans="1:6" x14ac:dyDescent="0.2">
      <c r="A20" s="416" t="s">
        <v>191</v>
      </c>
      <c r="B20" s="188" t="s">
        <v>116</v>
      </c>
      <c r="C20" s="188" t="s">
        <v>29</v>
      </c>
      <c r="D20" s="188" t="s">
        <v>5</v>
      </c>
      <c r="E20" s="188" t="s">
        <v>2</v>
      </c>
      <c r="F20" s="188" t="s">
        <v>3</v>
      </c>
    </row>
    <row r="21" spans="1:6" ht="12.95" customHeight="1" x14ac:dyDescent="0.2">
      <c r="A21" s="434">
        <v>46095</v>
      </c>
      <c r="B21" s="430">
        <v>0.35416666666666669</v>
      </c>
      <c r="C21" s="431" t="s">
        <v>19</v>
      </c>
      <c r="D21" s="403"/>
      <c r="E21" s="432" t="s">
        <v>196</v>
      </c>
      <c r="F21" s="433" t="s">
        <v>196</v>
      </c>
    </row>
    <row r="22" spans="1:6" ht="12.95" customHeight="1" x14ac:dyDescent="0.2">
      <c r="A22" s="434">
        <v>46095</v>
      </c>
      <c r="B22" s="430">
        <v>0.47916666666666669</v>
      </c>
      <c r="C22" s="431" t="s">
        <v>19</v>
      </c>
      <c r="D22" s="386"/>
      <c r="E22" s="432" t="s">
        <v>196</v>
      </c>
      <c r="F22" s="433" t="s">
        <v>196</v>
      </c>
    </row>
    <row r="23" spans="1:6" ht="12.95" customHeight="1" x14ac:dyDescent="0.2">
      <c r="A23" s="409">
        <v>46095</v>
      </c>
      <c r="B23" s="371">
        <v>0.375</v>
      </c>
      <c r="C23" s="394" t="s">
        <v>104</v>
      </c>
      <c r="D23" s="386"/>
      <c r="E23" s="395" t="s">
        <v>186</v>
      </c>
      <c r="F23" s="389" t="s">
        <v>188</v>
      </c>
    </row>
    <row r="24" spans="1:6" ht="12.95" customHeight="1" x14ac:dyDescent="0.2">
      <c r="A24" s="410">
        <v>46095</v>
      </c>
      <c r="B24" s="374">
        <v>0.47916666666666669</v>
      </c>
      <c r="C24" s="396" t="s">
        <v>18</v>
      </c>
      <c r="D24" s="396" t="s">
        <v>104</v>
      </c>
      <c r="E24" s="397" t="s">
        <v>186</v>
      </c>
      <c r="F24" s="404" t="s">
        <v>190</v>
      </c>
    </row>
    <row r="25" spans="1:6" ht="12.95" customHeight="1" x14ac:dyDescent="0.2">
      <c r="A25" s="410">
        <v>46095</v>
      </c>
      <c r="B25" s="374">
        <v>0.58333333333333337</v>
      </c>
      <c r="C25" s="398" t="s">
        <v>20</v>
      </c>
      <c r="D25" s="396" t="s">
        <v>18</v>
      </c>
      <c r="E25" s="399" t="s">
        <v>186</v>
      </c>
      <c r="F25" s="405" t="s">
        <v>190</v>
      </c>
    </row>
    <row r="26" spans="1:6" ht="12.95" customHeight="1" x14ac:dyDescent="0.2">
      <c r="A26" s="410">
        <v>46095</v>
      </c>
      <c r="B26" s="374">
        <v>0.6875</v>
      </c>
      <c r="C26" s="398" t="s">
        <v>73</v>
      </c>
      <c r="D26" s="396" t="s">
        <v>22</v>
      </c>
      <c r="E26" s="400" t="s">
        <v>186</v>
      </c>
      <c r="F26" s="404" t="s">
        <v>190</v>
      </c>
    </row>
    <row r="27" spans="1:6" ht="12.95" customHeight="1" x14ac:dyDescent="0.2">
      <c r="A27" s="409">
        <v>46095</v>
      </c>
      <c r="B27" s="371">
        <v>0.375</v>
      </c>
      <c r="C27" s="372" t="s">
        <v>106</v>
      </c>
      <c r="D27" s="386"/>
      <c r="E27" s="373" t="s">
        <v>187</v>
      </c>
      <c r="F27" s="389" t="s">
        <v>188</v>
      </c>
    </row>
    <row r="28" spans="1:6" ht="12.95" customHeight="1" x14ac:dyDescent="0.2">
      <c r="A28" s="409">
        <v>46095</v>
      </c>
      <c r="B28" s="371">
        <v>0.47916666666666669</v>
      </c>
      <c r="C28" s="372" t="s">
        <v>20</v>
      </c>
      <c r="D28" s="386"/>
      <c r="E28" s="373" t="s">
        <v>187</v>
      </c>
      <c r="F28" s="389" t="s">
        <v>188</v>
      </c>
    </row>
    <row r="29" spans="1:6" ht="12.95" customHeight="1" x14ac:dyDescent="0.2">
      <c r="A29" s="414">
        <v>46095</v>
      </c>
      <c r="B29" s="401">
        <v>0.58333333333333337</v>
      </c>
      <c r="C29" s="372" t="s">
        <v>106</v>
      </c>
      <c r="D29" s="402"/>
      <c r="E29" s="373" t="s">
        <v>187</v>
      </c>
      <c r="F29" s="389" t="s">
        <v>188</v>
      </c>
    </row>
    <row r="30" spans="1:6" ht="12.95" customHeight="1" x14ac:dyDescent="0.2">
      <c r="A30" s="409">
        <v>46095</v>
      </c>
      <c r="B30" s="371">
        <v>0.6875</v>
      </c>
      <c r="C30" s="372" t="s">
        <v>23</v>
      </c>
      <c r="D30" s="386"/>
      <c r="E30" s="373" t="s">
        <v>187</v>
      </c>
      <c r="F30" s="389" t="s">
        <v>188</v>
      </c>
    </row>
    <row r="31" spans="1:6" ht="12.95" customHeight="1" x14ac:dyDescent="0.2">
      <c r="A31" s="415">
        <v>46096</v>
      </c>
      <c r="B31" s="227">
        <v>0.375</v>
      </c>
      <c r="C31" s="228" t="s">
        <v>102</v>
      </c>
      <c r="D31" s="225"/>
      <c r="E31" s="160" t="s">
        <v>186</v>
      </c>
      <c r="F31" s="161" t="s">
        <v>189</v>
      </c>
    </row>
    <row r="32" spans="1:6" ht="12.95" customHeight="1" x14ac:dyDescent="0.2">
      <c r="A32" s="415">
        <v>46096</v>
      </c>
      <c r="B32" s="227">
        <v>0.47916666666666669</v>
      </c>
      <c r="C32" s="228" t="s">
        <v>102</v>
      </c>
      <c r="D32" s="225"/>
      <c r="E32" s="160" t="s">
        <v>186</v>
      </c>
      <c r="F32" s="161" t="s">
        <v>189</v>
      </c>
    </row>
    <row r="33" spans="1:6" ht="12.95" customHeight="1" x14ac:dyDescent="0.2">
      <c r="A33" s="415">
        <v>46096</v>
      </c>
      <c r="B33" s="227">
        <v>0.58333333333333337</v>
      </c>
      <c r="C33" s="228" t="s">
        <v>75</v>
      </c>
      <c r="D33" s="225"/>
      <c r="E33" s="160" t="s">
        <v>186</v>
      </c>
      <c r="F33" s="161" t="s">
        <v>189</v>
      </c>
    </row>
    <row r="34" spans="1:6" ht="12.95" customHeight="1" x14ac:dyDescent="0.2">
      <c r="A34" s="415">
        <v>46096</v>
      </c>
      <c r="B34" s="227">
        <v>0.375</v>
      </c>
      <c r="C34" s="228" t="s">
        <v>108</v>
      </c>
      <c r="D34" s="225"/>
      <c r="E34" s="160" t="s">
        <v>187</v>
      </c>
      <c r="F34" s="161" t="s">
        <v>189</v>
      </c>
    </row>
    <row r="35" spans="1:6" ht="12.95" customHeight="1" x14ac:dyDescent="0.2">
      <c r="A35" s="415">
        <v>46096</v>
      </c>
      <c r="B35" s="227">
        <v>0.47916666666666669</v>
      </c>
      <c r="C35" s="228" t="s">
        <v>23</v>
      </c>
      <c r="D35" s="225"/>
      <c r="E35" s="160" t="s">
        <v>187</v>
      </c>
      <c r="F35" s="161" t="s">
        <v>189</v>
      </c>
    </row>
    <row r="36" spans="1:6" ht="12.95" customHeight="1" x14ac:dyDescent="0.2">
      <c r="A36" s="415">
        <v>46096</v>
      </c>
      <c r="B36" s="227">
        <v>0.58333333333333337</v>
      </c>
      <c r="C36" s="228" t="s">
        <v>23</v>
      </c>
      <c r="D36" s="226"/>
      <c r="E36" s="160" t="s">
        <v>187</v>
      </c>
      <c r="F36" s="161" t="s">
        <v>189</v>
      </c>
    </row>
  </sheetData>
  <mergeCells count="2">
    <mergeCell ref="A1:F1"/>
    <mergeCell ref="A19:F19"/>
  </mergeCells>
  <pageMargins left="0.7" right="0.7" top="0.75" bottom="0.75" header="0.3" footer="0.3"/>
  <pageSetup orientation="portrait" horizontalDpi="300" verticalDpi="300" r:id="rId1"/>
  <webPublishItems count="1">
    <webPublishItem id="15788" divId="2026 LBLL WorkSheet" sourceType="sheet" destinationFile="C:\Umps\2026 Spring\Week1.html" title="LBLL 2026 Spring Baseball Season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DB108-D9C9-4B59-8F30-D3BE12CCC5B6}">
  <sheetPr codeName="Sheet9"/>
  <dimension ref="A2:A10"/>
  <sheetViews>
    <sheetView workbookViewId="0">
      <selection activeCell="A4" sqref="A4"/>
    </sheetView>
  </sheetViews>
  <sheetFormatPr defaultRowHeight="15" x14ac:dyDescent="0.25"/>
  <cols>
    <col min="1" max="1" width="33.140625" customWidth="1"/>
  </cols>
  <sheetData>
    <row r="2" spans="1:1" ht="18.75" x14ac:dyDescent="0.3">
      <c r="A2" s="406" t="s">
        <v>199</v>
      </c>
    </row>
    <row r="3" spans="1:1" ht="18.75" x14ac:dyDescent="0.3">
      <c r="A3" s="406" t="s">
        <v>200</v>
      </c>
    </row>
    <row r="4" spans="1:1" ht="18.75" x14ac:dyDescent="0.3">
      <c r="A4" s="406" t="s">
        <v>201</v>
      </c>
    </row>
    <row r="5" spans="1:1" ht="18.75" x14ac:dyDescent="0.3">
      <c r="A5" s="406"/>
    </row>
    <row r="6" spans="1:1" ht="18.75" x14ac:dyDescent="0.3">
      <c r="A6" s="406" t="s">
        <v>202</v>
      </c>
    </row>
    <row r="7" spans="1:1" ht="18.75" x14ac:dyDescent="0.3">
      <c r="A7" s="406" t="s">
        <v>203</v>
      </c>
    </row>
    <row r="8" spans="1:1" ht="18.75" x14ac:dyDescent="0.3">
      <c r="A8" s="406" t="s">
        <v>204</v>
      </c>
    </row>
    <row r="10" spans="1:1" ht="18.75" x14ac:dyDescent="0.3">
      <c r="A10" s="407" t="s">
        <v>205</v>
      </c>
    </row>
  </sheetData>
  <pageMargins left="0.7" right="0.7" top="0.75" bottom="0.75" header="0.3" footer="0.3"/>
  <webPublishItems count="1">
    <webPublishItem id="19856" divId="2026_LBLL_Schedule_19856" sourceType="sheet" destinationFile="C:\Umps\2026 Spring\Week2Blank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A4A82-AE14-4121-B3F6-1E740B5CCD33}">
  <sheetPr codeName="Sheet2"/>
  <dimension ref="A1:Q29"/>
  <sheetViews>
    <sheetView workbookViewId="0">
      <selection activeCell="B11" sqref="B11"/>
    </sheetView>
  </sheetViews>
  <sheetFormatPr defaultRowHeight="15" x14ac:dyDescent="0.25"/>
  <cols>
    <col min="1" max="1" width="17.5703125" style="2" bestFit="1" customWidth="1"/>
    <col min="2" max="2" width="9" style="2" bestFit="1" customWidth="1"/>
    <col min="3" max="3" width="11" style="2" bestFit="1" customWidth="1"/>
    <col min="4" max="4" width="9.140625" style="2" bestFit="1" customWidth="1"/>
    <col min="5" max="5" width="12.42578125" style="2" bestFit="1" customWidth="1"/>
    <col min="6" max="6" width="3.140625" style="2" customWidth="1"/>
    <col min="7" max="7" width="14.7109375" style="2" customWidth="1"/>
    <col min="8" max="8" width="12.42578125" style="2" bestFit="1" customWidth="1"/>
    <col min="9" max="9" width="3.140625" style="2" customWidth="1"/>
    <col min="10" max="10" width="16.42578125" style="2" customWidth="1"/>
    <col min="11" max="11" width="12.42578125" style="2" bestFit="1" customWidth="1"/>
    <col min="12" max="12" width="23.7109375" style="2" customWidth="1"/>
    <col min="13" max="13" width="9.140625" style="2"/>
    <col min="14" max="14" width="17.5703125" style="2" customWidth="1"/>
    <col min="15" max="15" width="21" style="2" customWidth="1"/>
    <col min="16" max="16" width="14.5703125" customWidth="1"/>
    <col min="17" max="17" width="3.7109375" customWidth="1"/>
    <col min="18" max="16384" width="9.140625" style="2"/>
  </cols>
  <sheetData>
    <row r="1" spans="1:4" x14ac:dyDescent="0.25">
      <c r="A1"/>
      <c r="B1" s="50" t="s">
        <v>138</v>
      </c>
      <c r="C1" s="50" t="s">
        <v>139</v>
      </c>
      <c r="D1" s="50" t="s">
        <v>140</v>
      </c>
    </row>
    <row r="2" spans="1:4" x14ac:dyDescent="0.25">
      <c r="A2" s="136" t="s">
        <v>141</v>
      </c>
      <c r="B2" s="136"/>
      <c r="C2" s="136" t="s">
        <v>142</v>
      </c>
      <c r="D2" s="136"/>
    </row>
    <row r="3" spans="1:4" x14ac:dyDescent="0.25">
      <c r="A3" s="136" t="s">
        <v>37</v>
      </c>
      <c r="B3" s="137" t="s">
        <v>143</v>
      </c>
      <c r="C3" s="136"/>
      <c r="D3" s="136"/>
    </row>
    <row r="4" spans="1:4" x14ac:dyDescent="0.25">
      <c r="A4" s="136" t="s">
        <v>36</v>
      </c>
      <c r="B4" s="136"/>
      <c r="C4" s="136"/>
      <c r="D4" s="136"/>
    </row>
    <row r="5" spans="1:4" x14ac:dyDescent="0.25">
      <c r="A5" s="136" t="s">
        <v>144</v>
      </c>
      <c r="B5" s="136"/>
      <c r="C5" s="136"/>
      <c r="D5" s="136"/>
    </row>
    <row r="6" spans="1:4" x14ac:dyDescent="0.25">
      <c r="A6" s="136" t="s">
        <v>145</v>
      </c>
      <c r="B6" s="136"/>
      <c r="C6" s="136"/>
      <c r="D6" s="136"/>
    </row>
    <row r="7" spans="1:4" x14ac:dyDescent="0.25">
      <c r="A7" s="136" t="s">
        <v>76</v>
      </c>
      <c r="B7" s="136"/>
      <c r="C7" s="136"/>
      <c r="D7" s="136"/>
    </row>
    <row r="8" spans="1:4" x14ac:dyDescent="0.25">
      <c r="A8" s="138" t="s">
        <v>146</v>
      </c>
      <c r="B8" s="136" t="s">
        <v>147</v>
      </c>
      <c r="C8" s="136"/>
      <c r="D8" s="136"/>
    </row>
    <row r="9" spans="1:4" x14ac:dyDescent="0.25">
      <c r="A9" s="136" t="s">
        <v>13</v>
      </c>
      <c r="B9" s="136" t="s">
        <v>148</v>
      </c>
      <c r="C9" s="136"/>
      <c r="D9" s="136"/>
    </row>
    <row r="10" spans="1:4" x14ac:dyDescent="0.25">
      <c r="A10" s="139" t="s">
        <v>149</v>
      </c>
      <c r="B10" s="136"/>
      <c r="C10" s="136"/>
      <c r="D10" s="136"/>
    </row>
    <row r="11" spans="1:4" x14ac:dyDescent="0.25">
      <c r="A11"/>
      <c r="B11"/>
      <c r="C11"/>
      <c r="D11"/>
    </row>
    <row r="12" spans="1:4" x14ac:dyDescent="0.25">
      <c r="A12" s="140" t="s">
        <v>150</v>
      </c>
      <c r="B12" t="s">
        <v>151</v>
      </c>
      <c r="C12"/>
      <c r="D12"/>
    </row>
    <row r="13" spans="1:4" x14ac:dyDescent="0.25">
      <c r="A13" s="140" t="s">
        <v>152</v>
      </c>
      <c r="B13" t="s">
        <v>153</v>
      </c>
      <c r="C13"/>
      <c r="D13"/>
    </row>
    <row r="14" spans="1:4" x14ac:dyDescent="0.25">
      <c r="A14" t="s">
        <v>10</v>
      </c>
      <c r="B14"/>
      <c r="C14" t="s">
        <v>154</v>
      </c>
      <c r="D14"/>
    </row>
    <row r="15" spans="1:4" x14ac:dyDescent="0.25">
      <c r="A15" t="s">
        <v>6</v>
      </c>
      <c r="B15" t="s">
        <v>155</v>
      </c>
      <c r="C15"/>
      <c r="D15"/>
    </row>
    <row r="16" spans="1:4" x14ac:dyDescent="0.25">
      <c r="A16" t="s">
        <v>7</v>
      </c>
      <c r="B16"/>
      <c r="C16"/>
      <c r="D16" t="s">
        <v>156</v>
      </c>
    </row>
    <row r="17" spans="1:4" x14ac:dyDescent="0.25">
      <c r="A17" t="s">
        <v>12</v>
      </c>
      <c r="B17"/>
      <c r="C17"/>
      <c r="D17" t="s">
        <v>156</v>
      </c>
    </row>
    <row r="18" spans="1:4" x14ac:dyDescent="0.25">
      <c r="A18" s="141" t="s">
        <v>157</v>
      </c>
      <c r="B18"/>
      <c r="C18"/>
      <c r="D18" t="s">
        <v>156</v>
      </c>
    </row>
    <row r="19" spans="1:4" x14ac:dyDescent="0.25">
      <c r="A19" t="s">
        <v>8</v>
      </c>
      <c r="B19"/>
      <c r="C19"/>
      <c r="D19" t="s">
        <v>156</v>
      </c>
    </row>
    <row r="20" spans="1:4" x14ac:dyDescent="0.25">
      <c r="A20" t="s">
        <v>11</v>
      </c>
      <c r="B20"/>
      <c r="C20"/>
      <c r="D20" t="s">
        <v>156</v>
      </c>
    </row>
    <row r="21" spans="1:4" x14ac:dyDescent="0.25">
      <c r="A21" t="s">
        <v>32</v>
      </c>
      <c r="B21"/>
      <c r="C21" t="s">
        <v>158</v>
      </c>
      <c r="D21"/>
    </row>
    <row r="22" spans="1:4" x14ac:dyDescent="0.25">
      <c r="A22" t="s">
        <v>159</v>
      </c>
      <c r="B22"/>
      <c r="C22"/>
      <c r="D22"/>
    </row>
    <row r="23" spans="1:4" x14ac:dyDescent="0.25">
      <c r="A23"/>
      <c r="B23"/>
      <c r="C23"/>
      <c r="D23"/>
    </row>
    <row r="24" spans="1:4" x14ac:dyDescent="0.25">
      <c r="A24" s="142" t="s">
        <v>9</v>
      </c>
      <c r="B24"/>
      <c r="C24"/>
      <c r="D24"/>
    </row>
    <row r="25" spans="1:4" x14ac:dyDescent="0.25">
      <c r="A25" t="s">
        <v>14</v>
      </c>
      <c r="B25"/>
      <c r="C25"/>
      <c r="D25"/>
    </row>
    <row r="26" spans="1:4" x14ac:dyDescent="0.25">
      <c r="A26" s="140" t="s">
        <v>160</v>
      </c>
      <c r="B26"/>
      <c r="C26"/>
      <c r="D26"/>
    </row>
    <row r="27" spans="1:4" x14ac:dyDescent="0.25">
      <c r="A27" s="140" t="s">
        <v>161</v>
      </c>
      <c r="B27"/>
      <c r="C27"/>
      <c r="D27" t="s">
        <v>156</v>
      </c>
    </row>
    <row r="28" spans="1:4" x14ac:dyDescent="0.25">
      <c r="A28" s="140" t="s">
        <v>162</v>
      </c>
      <c r="B28"/>
      <c r="C28"/>
      <c r="D28"/>
    </row>
    <row r="29" spans="1:4" x14ac:dyDescent="0.25">
      <c r="A29" s="141" t="s">
        <v>163</v>
      </c>
      <c r="B29"/>
      <c r="C29"/>
      <c r="D29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E2DA3-FD06-495A-A86A-CA95F07BFA9F}">
  <sheetPr codeName="Sheet6"/>
  <dimension ref="B3:I24"/>
  <sheetViews>
    <sheetView workbookViewId="0">
      <selection activeCell="H7" sqref="H7"/>
    </sheetView>
  </sheetViews>
  <sheetFormatPr defaultRowHeight="15" x14ac:dyDescent="0.25"/>
  <cols>
    <col min="1" max="1" width="9.140625" style="50"/>
    <col min="2" max="2" width="12.28515625" style="50" bestFit="1" customWidth="1"/>
    <col min="3" max="3" width="10.5703125" style="50" bestFit="1" customWidth="1"/>
    <col min="4" max="4" width="17" customWidth="1"/>
    <col min="5" max="5" width="10.5703125" style="50" bestFit="1" customWidth="1"/>
    <col min="6" max="6" width="12.28515625" style="50" customWidth="1"/>
    <col min="7" max="7" width="9.140625" style="50"/>
    <col min="8" max="8" width="14.5703125" style="50" bestFit="1" customWidth="1"/>
    <col min="9" max="16384" width="9.140625" style="50"/>
  </cols>
  <sheetData>
    <row r="3" spans="2:6" x14ac:dyDescent="0.25">
      <c r="C3" s="54" t="s">
        <v>164</v>
      </c>
      <c r="D3" s="50"/>
      <c r="E3" s="54" t="s">
        <v>165</v>
      </c>
    </row>
    <row r="4" spans="2:6" x14ac:dyDescent="0.25">
      <c r="B4" s="144" t="s">
        <v>166</v>
      </c>
      <c r="C4" s="50">
        <v>50</v>
      </c>
      <c r="D4" s="5" t="s">
        <v>172</v>
      </c>
      <c r="E4" s="50">
        <v>60</v>
      </c>
      <c r="F4" s="145" t="s">
        <v>172</v>
      </c>
    </row>
    <row r="5" spans="2:6" x14ac:dyDescent="0.25">
      <c r="B5" s="146" t="s">
        <v>167</v>
      </c>
      <c r="C5" s="147">
        <v>80</v>
      </c>
      <c r="D5" s="148" t="s">
        <v>172</v>
      </c>
      <c r="E5" s="147">
        <v>95</v>
      </c>
      <c r="F5" s="149" t="s">
        <v>173</v>
      </c>
    </row>
    <row r="6" spans="2:6" x14ac:dyDescent="0.25">
      <c r="B6" s="144" t="s">
        <v>168</v>
      </c>
      <c r="C6" s="50">
        <v>85</v>
      </c>
      <c r="D6" s="5" t="s">
        <v>172</v>
      </c>
      <c r="E6" s="50">
        <v>90</v>
      </c>
      <c r="F6" s="145" t="s">
        <v>173</v>
      </c>
    </row>
    <row r="7" spans="2:6" x14ac:dyDescent="0.25">
      <c r="B7" s="146" t="s">
        <v>170</v>
      </c>
      <c r="C7" s="147">
        <v>85</v>
      </c>
      <c r="D7" s="148" t="s">
        <v>173</v>
      </c>
      <c r="E7" s="147">
        <v>80</v>
      </c>
      <c r="F7" s="149" t="s">
        <v>173</v>
      </c>
    </row>
    <row r="8" spans="2:6" x14ac:dyDescent="0.25">
      <c r="B8" s="146" t="s">
        <v>171</v>
      </c>
      <c r="C8" s="147">
        <v>80</v>
      </c>
      <c r="D8" s="148" t="s">
        <v>173</v>
      </c>
      <c r="E8" s="147">
        <v>70</v>
      </c>
      <c r="F8" s="149" t="s">
        <v>173</v>
      </c>
    </row>
    <row r="10" spans="2:6" x14ac:dyDescent="0.25">
      <c r="B10" s="143" t="s">
        <v>169</v>
      </c>
    </row>
    <row r="11" spans="2:6" x14ac:dyDescent="0.25">
      <c r="B11" s="143" t="s">
        <v>174</v>
      </c>
    </row>
    <row r="12" spans="2:6" x14ac:dyDescent="0.25">
      <c r="B12" s="143" t="s">
        <v>176</v>
      </c>
    </row>
    <row r="14" spans="2:6" x14ac:dyDescent="0.25">
      <c r="B14" s="143" t="s">
        <v>175</v>
      </c>
    </row>
    <row r="16" spans="2:6" x14ac:dyDescent="0.25">
      <c r="B16" s="154" t="s">
        <v>181</v>
      </c>
    </row>
    <row r="17" spans="3:9" x14ac:dyDescent="0.25">
      <c r="C17" s="150">
        <f>G17*C4</f>
        <v>2500</v>
      </c>
      <c r="D17" s="151"/>
      <c r="E17" s="150">
        <f>G17*E4</f>
        <v>3000</v>
      </c>
      <c r="G17" s="50">
        <v>50</v>
      </c>
      <c r="H17" t="s">
        <v>179</v>
      </c>
      <c r="I17" s="155" t="s">
        <v>182</v>
      </c>
    </row>
    <row r="18" spans="3:9" x14ac:dyDescent="0.25">
      <c r="C18" s="150">
        <f>G18*C5</f>
        <v>9600</v>
      </c>
      <c r="D18" s="151"/>
      <c r="E18" s="150">
        <f>G18*E5</f>
        <v>11400</v>
      </c>
      <c r="G18" s="50">
        <v>120</v>
      </c>
      <c r="H18" t="s">
        <v>177</v>
      </c>
      <c r="I18" s="155" t="s">
        <v>183</v>
      </c>
    </row>
    <row r="19" spans="3:9" x14ac:dyDescent="0.25">
      <c r="C19" s="150">
        <f>G19*C6</f>
        <v>8500</v>
      </c>
      <c r="D19" s="151"/>
      <c r="E19" s="150">
        <f>G19*E6</f>
        <v>9000</v>
      </c>
      <c r="G19" s="50">
        <v>100</v>
      </c>
      <c r="H19" t="s">
        <v>178</v>
      </c>
      <c r="I19" s="155" t="s">
        <v>184</v>
      </c>
    </row>
    <row r="20" spans="3:9" x14ac:dyDescent="0.25">
      <c r="C20" s="150">
        <f>G20*C7</f>
        <v>5610</v>
      </c>
      <c r="D20" s="151"/>
      <c r="E20" s="150">
        <f>G20*E7</f>
        <v>5280</v>
      </c>
      <c r="G20" s="50">
        <v>66</v>
      </c>
      <c r="H20" t="s">
        <v>180</v>
      </c>
      <c r="I20" s="155" t="s">
        <v>185</v>
      </c>
    </row>
    <row r="21" spans="3:9" x14ac:dyDescent="0.25">
      <c r="C21" s="150">
        <f>C8*G20</f>
        <v>5280</v>
      </c>
      <c r="D21" s="151"/>
      <c r="E21" s="150">
        <f>E8*G20</f>
        <v>4620</v>
      </c>
    </row>
    <row r="22" spans="3:9" x14ac:dyDescent="0.25">
      <c r="C22" s="150"/>
      <c r="D22" s="151"/>
      <c r="E22" s="150"/>
    </row>
    <row r="23" spans="3:9" x14ac:dyDescent="0.25">
      <c r="C23" s="152">
        <f>SUM(C17:C21)</f>
        <v>31490</v>
      </c>
      <c r="D23" s="153"/>
      <c r="E23" s="152">
        <f>SUM(E17:E21)</f>
        <v>33300</v>
      </c>
    </row>
    <row r="24" spans="3:9" x14ac:dyDescent="0.25">
      <c r="C24" s="50" t="s">
        <v>164</v>
      </c>
      <c r="E24" s="50" t="s">
        <v>165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0A73-7679-4F70-984C-8387D5C221AF}">
  <sheetPr codeName="Sheet3"/>
  <dimension ref="A1:C41"/>
  <sheetViews>
    <sheetView topLeftCell="A20" workbookViewId="0">
      <selection activeCell="A43" sqref="A43"/>
    </sheetView>
  </sheetViews>
  <sheetFormatPr defaultRowHeight="18.75" x14ac:dyDescent="0.3"/>
  <cols>
    <col min="1" max="1" width="4.42578125" style="71" customWidth="1"/>
    <col min="10" max="10" width="10.28515625" customWidth="1"/>
    <col min="11" max="11" width="14.140625" customWidth="1"/>
  </cols>
  <sheetData>
    <row r="1" spans="1:2" x14ac:dyDescent="0.3">
      <c r="A1" s="71" t="s">
        <v>38</v>
      </c>
    </row>
    <row r="2" spans="1:2" x14ac:dyDescent="0.3">
      <c r="B2" t="s">
        <v>39</v>
      </c>
    </row>
    <row r="3" spans="1:2" x14ac:dyDescent="0.3">
      <c r="B3" t="s">
        <v>40</v>
      </c>
    </row>
    <row r="4" spans="1:2" x14ac:dyDescent="0.3">
      <c r="A4" s="71" t="s">
        <v>41</v>
      </c>
    </row>
    <row r="5" spans="1:2" x14ac:dyDescent="0.3">
      <c r="B5" t="s">
        <v>42</v>
      </c>
    </row>
    <row r="6" spans="1:2" x14ac:dyDescent="0.3">
      <c r="B6" t="s">
        <v>43</v>
      </c>
    </row>
    <row r="7" spans="1:2" x14ac:dyDescent="0.3">
      <c r="A7" s="71" t="s">
        <v>44</v>
      </c>
    </row>
    <row r="8" spans="1:2" x14ac:dyDescent="0.3">
      <c r="B8" t="s">
        <v>45</v>
      </c>
    </row>
    <row r="9" spans="1:2" x14ac:dyDescent="0.3">
      <c r="B9" t="s">
        <v>118</v>
      </c>
    </row>
    <row r="10" spans="1:2" x14ac:dyDescent="0.3">
      <c r="B10" t="s">
        <v>70</v>
      </c>
    </row>
    <row r="11" spans="1:2" x14ac:dyDescent="0.3">
      <c r="B11" t="s">
        <v>71</v>
      </c>
    </row>
    <row r="12" spans="1:2" x14ac:dyDescent="0.3">
      <c r="B12" t="s">
        <v>119</v>
      </c>
    </row>
    <row r="13" spans="1:2" x14ac:dyDescent="0.3">
      <c r="A13" s="71" t="s">
        <v>46</v>
      </c>
      <c r="B13" s="72"/>
    </row>
    <row r="14" spans="1:2" x14ac:dyDescent="0.3">
      <c r="B14" t="s">
        <v>47</v>
      </c>
    </row>
    <row r="15" spans="1:2" x14ac:dyDescent="0.3">
      <c r="B15" t="s">
        <v>48</v>
      </c>
    </row>
    <row r="16" spans="1:2" x14ac:dyDescent="0.3">
      <c r="B16" t="s">
        <v>49</v>
      </c>
    </row>
    <row r="17" spans="1:2" x14ac:dyDescent="0.3">
      <c r="B17" t="s">
        <v>50</v>
      </c>
    </row>
    <row r="18" spans="1:2" x14ac:dyDescent="0.3">
      <c r="B18" t="s">
        <v>51</v>
      </c>
    </row>
    <row r="20" spans="1:2" x14ac:dyDescent="0.3">
      <c r="A20" s="71" t="s">
        <v>67</v>
      </c>
    </row>
    <row r="21" spans="1:2" x14ac:dyDescent="0.3">
      <c r="B21" t="s">
        <v>68</v>
      </c>
    </row>
    <row r="22" spans="1:2" x14ac:dyDescent="0.3">
      <c r="B22" t="s">
        <v>72</v>
      </c>
    </row>
    <row r="23" spans="1:2" x14ac:dyDescent="0.3">
      <c r="B23" t="s">
        <v>69</v>
      </c>
    </row>
    <row r="25" spans="1:2" x14ac:dyDescent="0.3">
      <c r="A25" s="71" t="s">
        <v>53</v>
      </c>
    </row>
    <row r="26" spans="1:2" x14ac:dyDescent="0.3">
      <c r="B26" t="s">
        <v>54</v>
      </c>
    </row>
    <row r="27" spans="1:2" x14ac:dyDescent="0.3">
      <c r="B27" t="s">
        <v>52</v>
      </c>
    </row>
    <row r="28" spans="1:2" x14ac:dyDescent="0.3">
      <c r="B28" t="s">
        <v>55</v>
      </c>
    </row>
    <row r="29" spans="1:2" x14ac:dyDescent="0.3">
      <c r="B29" t="s">
        <v>56</v>
      </c>
    </row>
    <row r="30" spans="1:2" x14ac:dyDescent="0.3">
      <c r="B30" s="75" t="s">
        <v>57</v>
      </c>
    </row>
    <row r="32" spans="1:2" x14ac:dyDescent="0.3">
      <c r="B32" t="s">
        <v>62</v>
      </c>
    </row>
    <row r="33" spans="1:3" x14ac:dyDescent="0.3">
      <c r="B33" t="s">
        <v>58</v>
      </c>
    </row>
    <row r="35" spans="1:3" x14ac:dyDescent="0.3">
      <c r="A35" s="71" t="s">
        <v>59</v>
      </c>
    </row>
    <row r="36" spans="1:3" x14ac:dyDescent="0.3">
      <c r="B36" s="73" t="s">
        <v>65</v>
      </c>
      <c r="C36" s="74"/>
    </row>
    <row r="37" spans="1:3" x14ac:dyDescent="0.3">
      <c r="B37" t="s">
        <v>63</v>
      </c>
    </row>
    <row r="38" spans="1:3" x14ac:dyDescent="0.3">
      <c r="B38" t="s">
        <v>60</v>
      </c>
    </row>
    <row r="39" spans="1:3" x14ac:dyDescent="0.3">
      <c r="B39" t="s">
        <v>66</v>
      </c>
    </row>
    <row r="40" spans="1:3" x14ac:dyDescent="0.3">
      <c r="B40" s="72" t="s">
        <v>61</v>
      </c>
    </row>
    <row r="41" spans="1:3" x14ac:dyDescent="0.3">
      <c r="B41" t="s">
        <v>64</v>
      </c>
    </row>
  </sheetData>
  <pageMargins left="0.25" right="0.25" top="0.25" bottom="0.25" header="0" footer="0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DBC07-143C-40E2-B064-683C8772EDBE}">
  <sheetPr codeName="Sheet7"/>
  <dimension ref="A1:E23"/>
  <sheetViews>
    <sheetView showGridLines="0" workbookViewId="0">
      <selection activeCell="C13" sqref="C13"/>
    </sheetView>
  </sheetViews>
  <sheetFormatPr defaultRowHeight="15" x14ac:dyDescent="0.25"/>
  <cols>
    <col min="2" max="2" width="4.5703125" customWidth="1"/>
    <col min="3" max="3" width="57" style="125" customWidth="1"/>
  </cols>
  <sheetData>
    <row r="1" spans="1:5" x14ac:dyDescent="0.25">
      <c r="A1" s="126"/>
      <c r="B1" s="126"/>
      <c r="C1" s="127"/>
      <c r="D1" s="126"/>
      <c r="E1" s="126"/>
    </row>
    <row r="2" spans="1:5" ht="42.75" customHeight="1" x14ac:dyDescent="0.25">
      <c r="A2" s="126"/>
      <c r="B2" s="128" t="s">
        <v>122</v>
      </c>
      <c r="C2" s="127"/>
      <c r="D2" s="126"/>
      <c r="E2" s="126"/>
    </row>
    <row r="3" spans="1:5" x14ac:dyDescent="0.25">
      <c r="A3" s="126"/>
      <c r="B3" s="129">
        <v>1</v>
      </c>
      <c r="C3" s="134" t="s">
        <v>120</v>
      </c>
      <c r="D3" s="126"/>
      <c r="E3" s="126"/>
    </row>
    <row r="4" spans="1:5" ht="27" x14ac:dyDescent="0.25">
      <c r="A4" s="126"/>
      <c r="B4" s="129">
        <v>2</v>
      </c>
      <c r="C4" s="133" t="s">
        <v>127</v>
      </c>
      <c r="D4" s="126"/>
      <c r="E4" s="126"/>
    </row>
    <row r="5" spans="1:5" x14ac:dyDescent="0.25">
      <c r="A5" s="126"/>
      <c r="B5" s="129">
        <v>3</v>
      </c>
      <c r="C5" s="130" t="s">
        <v>126</v>
      </c>
      <c r="D5" s="126"/>
      <c r="E5" s="126"/>
    </row>
    <row r="6" spans="1:5" ht="27" x14ac:dyDescent="0.25">
      <c r="A6" s="126"/>
      <c r="B6" s="129">
        <v>4</v>
      </c>
      <c r="C6" s="133" t="s">
        <v>125</v>
      </c>
      <c r="D6" s="126"/>
      <c r="E6" s="126"/>
    </row>
    <row r="7" spans="1:5" ht="27" x14ac:dyDescent="0.25">
      <c r="A7" s="126"/>
      <c r="B7" s="129">
        <v>5</v>
      </c>
      <c r="C7" s="130" t="s">
        <v>128</v>
      </c>
      <c r="D7" s="126"/>
      <c r="E7" s="126"/>
    </row>
    <row r="8" spans="1:5" ht="27" x14ac:dyDescent="0.25">
      <c r="A8" s="126"/>
      <c r="B8" s="129">
        <v>6</v>
      </c>
      <c r="C8" s="133" t="s">
        <v>136</v>
      </c>
      <c r="D8" s="126"/>
      <c r="E8" s="126"/>
    </row>
    <row r="9" spans="1:5" ht="27" x14ac:dyDescent="0.25">
      <c r="A9" s="126"/>
      <c r="B9" s="129">
        <v>7</v>
      </c>
      <c r="C9" s="130" t="s">
        <v>129</v>
      </c>
      <c r="D9" s="126"/>
      <c r="E9" s="126"/>
    </row>
    <row r="10" spans="1:5" ht="27" x14ac:dyDescent="0.25">
      <c r="A10" s="126"/>
      <c r="B10" s="129">
        <v>8</v>
      </c>
      <c r="C10" s="135" t="s">
        <v>124</v>
      </c>
      <c r="D10" s="126"/>
      <c r="E10" s="126"/>
    </row>
    <row r="11" spans="1:5" x14ac:dyDescent="0.25">
      <c r="A11" s="126"/>
      <c r="B11" s="126"/>
      <c r="C11" s="127"/>
      <c r="D11" s="126"/>
      <c r="E11" s="126"/>
    </row>
    <row r="12" spans="1:5" x14ac:dyDescent="0.25">
      <c r="A12" s="126"/>
      <c r="B12" s="128" t="s">
        <v>123</v>
      </c>
      <c r="C12" s="127"/>
      <c r="D12" s="126"/>
      <c r="E12" s="126"/>
    </row>
    <row r="13" spans="1:5" ht="27" x14ac:dyDescent="0.25">
      <c r="A13" s="126"/>
      <c r="B13" s="129">
        <v>1</v>
      </c>
      <c r="C13" s="131" t="s">
        <v>130</v>
      </c>
      <c r="D13" s="126"/>
      <c r="E13" s="126"/>
    </row>
    <row r="14" spans="1:5" ht="27" x14ac:dyDescent="0.25">
      <c r="A14" s="126"/>
      <c r="B14" s="129"/>
      <c r="C14" s="132" t="s">
        <v>131</v>
      </c>
      <c r="D14" s="126"/>
      <c r="E14" s="126"/>
    </row>
    <row r="15" spans="1:5" ht="27" x14ac:dyDescent="0.25">
      <c r="A15" s="126"/>
      <c r="B15" s="129">
        <v>2</v>
      </c>
      <c r="C15" s="133" t="s">
        <v>135</v>
      </c>
      <c r="D15" s="126"/>
      <c r="E15" s="126"/>
    </row>
    <row r="16" spans="1:5" x14ac:dyDescent="0.25">
      <c r="A16" s="126"/>
      <c r="B16" s="126"/>
      <c r="C16" s="127"/>
      <c r="D16" s="126"/>
      <c r="E16" s="126"/>
    </row>
    <row r="17" spans="1:5" x14ac:dyDescent="0.25">
      <c r="A17" s="126"/>
      <c r="B17" s="128" t="s">
        <v>121</v>
      </c>
      <c r="C17" s="127"/>
      <c r="D17" s="126"/>
      <c r="E17" s="126"/>
    </row>
    <row r="18" spans="1:5" x14ac:dyDescent="0.25">
      <c r="A18" s="126"/>
      <c r="B18" s="126"/>
      <c r="C18" s="130" t="s">
        <v>132</v>
      </c>
      <c r="D18" s="126"/>
      <c r="E18" s="126"/>
    </row>
    <row r="19" spans="1:5" x14ac:dyDescent="0.25">
      <c r="A19" s="126"/>
      <c r="B19" s="126"/>
      <c r="C19" s="133" t="s">
        <v>133</v>
      </c>
      <c r="D19" s="126"/>
      <c r="E19" s="126"/>
    </row>
    <row r="20" spans="1:5" x14ac:dyDescent="0.25">
      <c r="A20" s="126"/>
      <c r="B20" s="126"/>
      <c r="C20" s="130" t="s">
        <v>134</v>
      </c>
      <c r="D20" s="126"/>
      <c r="E20" s="126"/>
    </row>
    <row r="21" spans="1:5" x14ac:dyDescent="0.25">
      <c r="A21" s="126"/>
      <c r="B21" s="126"/>
      <c r="C21" s="127"/>
      <c r="D21" s="126"/>
      <c r="E21" s="126"/>
    </row>
    <row r="22" spans="1:5" x14ac:dyDescent="0.25">
      <c r="A22" s="126"/>
      <c r="B22" s="126"/>
      <c r="C22" s="127"/>
      <c r="D22" s="126"/>
      <c r="E22" s="126"/>
    </row>
    <row r="23" spans="1:5" x14ac:dyDescent="0.25">
      <c r="A23" s="126"/>
      <c r="B23" s="126"/>
      <c r="C23" s="127"/>
      <c r="D23" s="126"/>
      <c r="E23" s="12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03527-B01D-4653-8693-0682C39155F2}">
  <sheetPr codeName="Sheet4"/>
  <dimension ref="A1:B17"/>
  <sheetViews>
    <sheetView workbookViewId="0">
      <selection sqref="A1:B4"/>
    </sheetView>
  </sheetViews>
  <sheetFormatPr defaultRowHeight="15" x14ac:dyDescent="0.25"/>
  <sheetData>
    <row r="1" spans="1:2" ht="23.25" x14ac:dyDescent="0.35">
      <c r="A1" s="77" t="s">
        <v>15</v>
      </c>
    </row>
    <row r="2" spans="1:2" x14ac:dyDescent="0.25">
      <c r="B2" t="s">
        <v>78</v>
      </c>
    </row>
    <row r="3" spans="1:2" x14ac:dyDescent="0.25">
      <c r="B3" t="s">
        <v>81</v>
      </c>
    </row>
    <row r="4" spans="1:2" x14ac:dyDescent="0.25">
      <c r="B4" t="s">
        <v>82</v>
      </c>
    </row>
    <row r="9" spans="1:2" ht="23.25" x14ac:dyDescent="0.35">
      <c r="A9" s="77" t="s">
        <v>16</v>
      </c>
    </row>
    <row r="10" spans="1:2" x14ac:dyDescent="0.25">
      <c r="B10" t="s">
        <v>79</v>
      </c>
    </row>
    <row r="11" spans="1:2" x14ac:dyDescent="0.25">
      <c r="B11" t="s">
        <v>80</v>
      </c>
    </row>
    <row r="12" spans="1:2" x14ac:dyDescent="0.25">
      <c r="B12" t="s">
        <v>82</v>
      </c>
    </row>
    <row r="13" spans="1:2" x14ac:dyDescent="0.25">
      <c r="B13" s="1" t="s">
        <v>83</v>
      </c>
    </row>
    <row r="16" spans="1:2" x14ac:dyDescent="0.25">
      <c r="A16" t="s">
        <v>84</v>
      </c>
    </row>
    <row r="17" spans="1:1" x14ac:dyDescent="0.25">
      <c r="A17" t="s">
        <v>85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Report</vt:lpstr>
      <vt:lpstr>Pay</vt:lpstr>
      <vt:lpstr>WebPage</vt:lpstr>
      <vt:lpstr>BlankWeek2</vt:lpstr>
      <vt:lpstr>Umps</vt:lpstr>
      <vt:lpstr>Sheet2</vt:lpstr>
      <vt:lpstr>Rules</vt:lpstr>
      <vt:lpstr>Plate Mtg</vt:lpstr>
      <vt:lpstr>Sheet1</vt:lpstr>
      <vt:lpstr>Report!Print_Titles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tom Nasuti</cp:lastModifiedBy>
  <cp:lastPrinted>2025-05-13T05:37:46Z</cp:lastPrinted>
  <dcterms:created xsi:type="dcterms:W3CDTF">2025-01-18T02:21:47Z</dcterms:created>
  <dcterms:modified xsi:type="dcterms:W3CDTF">2026-03-10T05:52:06Z</dcterms:modified>
</cp:coreProperties>
</file>