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mps\2026 Spring\"/>
    </mc:Choice>
  </mc:AlternateContent>
  <xr:revisionPtr revIDLastSave="0" documentId="13_ncr:1_{F15B971A-2196-4441-BF2F-5C8C6C79D5EE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Report" sheetId="2" r:id="rId1"/>
    <sheet name="Pay" sheetId="14" r:id="rId2"/>
    <sheet name="WebPage" sheetId="10" r:id="rId3"/>
    <sheet name="BlankWeek2" sheetId="13" r:id="rId4"/>
    <sheet name="Umps" sheetId="3" r:id="rId5"/>
    <sheet name="Sheet2" sheetId="12" r:id="rId6"/>
    <sheet name="Rules" sheetId="4" r:id="rId7"/>
    <sheet name="Plate Mtg" sheetId="11" r:id="rId8"/>
    <sheet name="Sheet1" sheetId="8" r:id="rId9"/>
  </sheets>
  <definedNames>
    <definedName name="_xlnm._FilterDatabase" localSheetId="0" hidden="1">Report!#REF!</definedName>
    <definedName name="_xlnm.Print_Area" localSheetId="0">Report!#REF!</definedName>
    <definedName name="_xlnm.Print_Titles" localSheetId="0">Report!$1:$1</definedName>
  </definedNames>
  <calcPr calcId="181029"/>
</workbook>
</file>

<file path=xl/calcChain.xml><?xml version="1.0" encoding="utf-8"?>
<calcChain xmlns="http://schemas.openxmlformats.org/spreadsheetml/2006/main">
  <c r="AM177" i="2" l="1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L177" i="2"/>
  <c r="K177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L181" i="2"/>
  <c r="K181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L160" i="2"/>
  <c r="K160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L155" i="2"/>
  <c r="K155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L152" i="2"/>
  <c r="K152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L147" i="2"/>
  <c r="K147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L144" i="2"/>
  <c r="K144" i="2"/>
  <c r="K173" i="2"/>
  <c r="K165" i="2"/>
  <c r="K161" i="2"/>
  <c r="K156" i="2"/>
  <c r="K145" i="2"/>
  <c r="L182" i="2"/>
  <c r="J182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L176" i="2"/>
  <c r="K176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L175" i="2"/>
  <c r="K175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L174" i="2"/>
  <c r="K174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L173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L172" i="2"/>
  <c r="K172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L171" i="2"/>
  <c r="K171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L170" i="2"/>
  <c r="K170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L169" i="2"/>
  <c r="K169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L168" i="2"/>
  <c r="K168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L167" i="2"/>
  <c r="K167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L166" i="2"/>
  <c r="K166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L165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L164" i="2"/>
  <c r="K164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L163" i="2"/>
  <c r="K163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L162" i="2"/>
  <c r="K162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L161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L159" i="2"/>
  <c r="K159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L158" i="2"/>
  <c r="K158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L157" i="2"/>
  <c r="K157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L156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L154" i="2"/>
  <c r="K154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L153" i="2"/>
  <c r="K153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L151" i="2"/>
  <c r="K151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L150" i="2"/>
  <c r="K150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L149" i="2"/>
  <c r="K149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L148" i="2"/>
  <c r="K148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P146" i="2"/>
  <c r="O146" i="2"/>
  <c r="N146" i="2"/>
  <c r="L146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L145" i="2"/>
  <c r="AM143" i="2"/>
  <c r="AL143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L143" i="2"/>
  <c r="K143" i="2"/>
  <c r="K139" i="2"/>
  <c r="K138" i="2"/>
  <c r="K135" i="2"/>
  <c r="K134" i="2"/>
  <c r="K132" i="2"/>
  <c r="K131" i="2"/>
  <c r="K130" i="2"/>
  <c r="K127" i="2"/>
  <c r="K126" i="2"/>
  <c r="K124" i="2"/>
  <c r="K123" i="2"/>
  <c r="K122" i="2"/>
  <c r="K121" i="2"/>
  <c r="K120" i="2"/>
  <c r="K118" i="2"/>
  <c r="K117" i="2"/>
  <c r="K116" i="2"/>
  <c r="K114" i="2"/>
  <c r="L142" i="2"/>
  <c r="J142" i="2"/>
  <c r="AM141" i="2"/>
  <c r="AL141" i="2"/>
  <c r="AK141" i="2"/>
  <c r="AJ141" i="2"/>
  <c r="AI141" i="2"/>
  <c r="AH141" i="2"/>
  <c r="AG141" i="2"/>
  <c r="AE141" i="2"/>
  <c r="AD141" i="2"/>
  <c r="AC141" i="2"/>
  <c r="AB141" i="2"/>
  <c r="AA141" i="2"/>
  <c r="Z141" i="2"/>
  <c r="Y141" i="2"/>
  <c r="X141" i="2"/>
  <c r="W141" i="2"/>
  <c r="U141" i="2"/>
  <c r="V141" i="2"/>
  <c r="T141" i="2"/>
  <c r="AF141" i="2"/>
  <c r="S141" i="2"/>
  <c r="R141" i="2"/>
  <c r="Q141" i="2"/>
  <c r="P141" i="2"/>
  <c r="O141" i="2"/>
  <c r="N141" i="2"/>
  <c r="L141" i="2"/>
  <c r="K141" i="2"/>
  <c r="AM140" i="2"/>
  <c r="AL140" i="2"/>
  <c r="AK140" i="2"/>
  <c r="AJ140" i="2"/>
  <c r="AI140" i="2"/>
  <c r="AH140" i="2"/>
  <c r="AG140" i="2"/>
  <c r="AE140" i="2"/>
  <c r="AD140" i="2"/>
  <c r="AC140" i="2"/>
  <c r="AB140" i="2"/>
  <c r="AA140" i="2"/>
  <c r="Z140" i="2"/>
  <c r="Y140" i="2"/>
  <c r="X140" i="2"/>
  <c r="W140" i="2"/>
  <c r="U140" i="2"/>
  <c r="V140" i="2"/>
  <c r="T140" i="2"/>
  <c r="AF140" i="2"/>
  <c r="S140" i="2"/>
  <c r="R140" i="2"/>
  <c r="Q140" i="2"/>
  <c r="P140" i="2"/>
  <c r="O140" i="2"/>
  <c r="N140" i="2"/>
  <c r="L140" i="2"/>
  <c r="K140" i="2"/>
  <c r="AM139" i="2"/>
  <c r="AL139" i="2"/>
  <c r="AK139" i="2"/>
  <c r="AJ139" i="2"/>
  <c r="AI139" i="2"/>
  <c r="AH139" i="2"/>
  <c r="AG139" i="2"/>
  <c r="AE139" i="2"/>
  <c r="AD139" i="2"/>
  <c r="AC139" i="2"/>
  <c r="AB139" i="2"/>
  <c r="AA139" i="2"/>
  <c r="Z139" i="2"/>
  <c r="Y139" i="2"/>
  <c r="X139" i="2"/>
  <c r="W139" i="2"/>
  <c r="U139" i="2"/>
  <c r="V139" i="2"/>
  <c r="T139" i="2"/>
  <c r="AF139" i="2"/>
  <c r="S139" i="2"/>
  <c r="R139" i="2"/>
  <c r="Q139" i="2"/>
  <c r="P139" i="2"/>
  <c r="O139" i="2"/>
  <c r="N139" i="2"/>
  <c r="L139" i="2"/>
  <c r="AM138" i="2"/>
  <c r="AL138" i="2"/>
  <c r="AK138" i="2"/>
  <c r="AJ138" i="2"/>
  <c r="AI138" i="2"/>
  <c r="AH138" i="2"/>
  <c r="AG138" i="2"/>
  <c r="AE138" i="2"/>
  <c r="AD138" i="2"/>
  <c r="AC138" i="2"/>
  <c r="AB138" i="2"/>
  <c r="AA138" i="2"/>
  <c r="Z138" i="2"/>
  <c r="Y138" i="2"/>
  <c r="X138" i="2"/>
  <c r="W138" i="2"/>
  <c r="U138" i="2"/>
  <c r="V138" i="2"/>
  <c r="T138" i="2"/>
  <c r="AF138" i="2"/>
  <c r="S138" i="2"/>
  <c r="R138" i="2"/>
  <c r="Q138" i="2"/>
  <c r="P138" i="2"/>
  <c r="O138" i="2"/>
  <c r="N138" i="2"/>
  <c r="L138" i="2"/>
  <c r="AM137" i="2"/>
  <c r="AL137" i="2"/>
  <c r="AK137" i="2"/>
  <c r="AJ137" i="2"/>
  <c r="AI137" i="2"/>
  <c r="AH137" i="2"/>
  <c r="AG137" i="2"/>
  <c r="AE137" i="2"/>
  <c r="AD137" i="2"/>
  <c r="AC137" i="2"/>
  <c r="AB137" i="2"/>
  <c r="AA137" i="2"/>
  <c r="Z137" i="2"/>
  <c r="Y137" i="2"/>
  <c r="X137" i="2"/>
  <c r="W137" i="2"/>
  <c r="U137" i="2"/>
  <c r="V137" i="2"/>
  <c r="T137" i="2"/>
  <c r="AF137" i="2"/>
  <c r="S137" i="2"/>
  <c r="R137" i="2"/>
  <c r="Q137" i="2"/>
  <c r="P137" i="2"/>
  <c r="O137" i="2"/>
  <c r="N137" i="2"/>
  <c r="L137" i="2"/>
  <c r="K137" i="2"/>
  <c r="AM136" i="2"/>
  <c r="AL136" i="2"/>
  <c r="AK136" i="2"/>
  <c r="AJ136" i="2"/>
  <c r="AI136" i="2"/>
  <c r="AH136" i="2"/>
  <c r="AG136" i="2"/>
  <c r="AE136" i="2"/>
  <c r="AD136" i="2"/>
  <c r="AC136" i="2"/>
  <c r="AB136" i="2"/>
  <c r="AA136" i="2"/>
  <c r="Z136" i="2"/>
  <c r="Y136" i="2"/>
  <c r="X136" i="2"/>
  <c r="W136" i="2"/>
  <c r="U136" i="2"/>
  <c r="V136" i="2"/>
  <c r="T136" i="2"/>
  <c r="AF136" i="2"/>
  <c r="S136" i="2"/>
  <c r="R136" i="2"/>
  <c r="Q136" i="2"/>
  <c r="P136" i="2"/>
  <c r="O136" i="2"/>
  <c r="N136" i="2"/>
  <c r="L136" i="2"/>
  <c r="K136" i="2"/>
  <c r="AM135" i="2"/>
  <c r="AL135" i="2"/>
  <c r="AK135" i="2"/>
  <c r="AJ135" i="2"/>
  <c r="AI135" i="2"/>
  <c r="AH135" i="2"/>
  <c r="AG135" i="2"/>
  <c r="AE135" i="2"/>
  <c r="AD135" i="2"/>
  <c r="AC135" i="2"/>
  <c r="AB135" i="2"/>
  <c r="AA135" i="2"/>
  <c r="Z135" i="2"/>
  <c r="Y135" i="2"/>
  <c r="X135" i="2"/>
  <c r="W135" i="2"/>
  <c r="U135" i="2"/>
  <c r="V135" i="2"/>
  <c r="T135" i="2"/>
  <c r="AF135" i="2"/>
  <c r="S135" i="2"/>
  <c r="R135" i="2"/>
  <c r="Q135" i="2"/>
  <c r="P135" i="2"/>
  <c r="O135" i="2"/>
  <c r="N135" i="2"/>
  <c r="L135" i="2"/>
  <c r="AM134" i="2"/>
  <c r="AL134" i="2"/>
  <c r="AK134" i="2"/>
  <c r="AJ134" i="2"/>
  <c r="AI134" i="2"/>
  <c r="AH134" i="2"/>
  <c r="AG134" i="2"/>
  <c r="AE134" i="2"/>
  <c r="AD134" i="2"/>
  <c r="AC134" i="2"/>
  <c r="AB134" i="2"/>
  <c r="AA134" i="2"/>
  <c r="Z134" i="2"/>
  <c r="Y134" i="2"/>
  <c r="X134" i="2"/>
  <c r="W134" i="2"/>
  <c r="U134" i="2"/>
  <c r="V134" i="2"/>
  <c r="T134" i="2"/>
  <c r="AF134" i="2"/>
  <c r="S134" i="2"/>
  <c r="R134" i="2"/>
  <c r="Q134" i="2"/>
  <c r="P134" i="2"/>
  <c r="O134" i="2"/>
  <c r="N134" i="2"/>
  <c r="L134" i="2"/>
  <c r="AM133" i="2"/>
  <c r="AL133" i="2"/>
  <c r="AK133" i="2"/>
  <c r="AJ133" i="2"/>
  <c r="AI133" i="2"/>
  <c r="AH133" i="2"/>
  <c r="AG133" i="2"/>
  <c r="AE133" i="2"/>
  <c r="AD133" i="2"/>
  <c r="AC133" i="2"/>
  <c r="AB133" i="2"/>
  <c r="AA133" i="2"/>
  <c r="Z133" i="2"/>
  <c r="Y133" i="2"/>
  <c r="X133" i="2"/>
  <c r="W133" i="2"/>
  <c r="U133" i="2"/>
  <c r="V133" i="2"/>
  <c r="T133" i="2"/>
  <c r="AF133" i="2"/>
  <c r="S133" i="2"/>
  <c r="R133" i="2"/>
  <c r="Q133" i="2"/>
  <c r="P133" i="2"/>
  <c r="O133" i="2"/>
  <c r="N133" i="2"/>
  <c r="L133" i="2"/>
  <c r="K133" i="2"/>
  <c r="AM132" i="2"/>
  <c r="AL132" i="2"/>
  <c r="AK132" i="2"/>
  <c r="AJ132" i="2"/>
  <c r="AI132" i="2"/>
  <c r="AH132" i="2"/>
  <c r="AG132" i="2"/>
  <c r="AE132" i="2"/>
  <c r="AD132" i="2"/>
  <c r="AC132" i="2"/>
  <c r="AB132" i="2"/>
  <c r="AA132" i="2"/>
  <c r="Z132" i="2"/>
  <c r="Y132" i="2"/>
  <c r="X132" i="2"/>
  <c r="W132" i="2"/>
  <c r="U132" i="2"/>
  <c r="V132" i="2"/>
  <c r="T132" i="2"/>
  <c r="AF132" i="2"/>
  <c r="S132" i="2"/>
  <c r="R132" i="2"/>
  <c r="Q132" i="2"/>
  <c r="P132" i="2"/>
  <c r="O132" i="2"/>
  <c r="N132" i="2"/>
  <c r="L132" i="2"/>
  <c r="AM131" i="2"/>
  <c r="AL131" i="2"/>
  <c r="AK131" i="2"/>
  <c r="AJ131" i="2"/>
  <c r="AI131" i="2"/>
  <c r="AH131" i="2"/>
  <c r="AG131" i="2"/>
  <c r="AE131" i="2"/>
  <c r="AD131" i="2"/>
  <c r="AC131" i="2"/>
  <c r="AB131" i="2"/>
  <c r="AA131" i="2"/>
  <c r="Z131" i="2"/>
  <c r="Y131" i="2"/>
  <c r="X131" i="2"/>
  <c r="W131" i="2"/>
  <c r="U131" i="2"/>
  <c r="V131" i="2"/>
  <c r="T131" i="2"/>
  <c r="AF131" i="2"/>
  <c r="S131" i="2"/>
  <c r="R131" i="2"/>
  <c r="Q131" i="2"/>
  <c r="P131" i="2"/>
  <c r="O131" i="2"/>
  <c r="N131" i="2"/>
  <c r="L131" i="2"/>
  <c r="AM130" i="2"/>
  <c r="AL130" i="2"/>
  <c r="AK130" i="2"/>
  <c r="AJ130" i="2"/>
  <c r="AI130" i="2"/>
  <c r="AH130" i="2"/>
  <c r="AG130" i="2"/>
  <c r="AE130" i="2"/>
  <c r="AD130" i="2"/>
  <c r="AC130" i="2"/>
  <c r="AB130" i="2"/>
  <c r="AA130" i="2"/>
  <c r="Z130" i="2"/>
  <c r="Y130" i="2"/>
  <c r="X130" i="2"/>
  <c r="W130" i="2"/>
  <c r="U130" i="2"/>
  <c r="V130" i="2"/>
  <c r="T130" i="2"/>
  <c r="AF130" i="2"/>
  <c r="S130" i="2"/>
  <c r="R130" i="2"/>
  <c r="Q130" i="2"/>
  <c r="P130" i="2"/>
  <c r="O130" i="2"/>
  <c r="N130" i="2"/>
  <c r="L130" i="2"/>
  <c r="AM129" i="2"/>
  <c r="AL129" i="2"/>
  <c r="AK129" i="2"/>
  <c r="AJ129" i="2"/>
  <c r="AI129" i="2"/>
  <c r="AH129" i="2"/>
  <c r="AG129" i="2"/>
  <c r="AE129" i="2"/>
  <c r="AD129" i="2"/>
  <c r="AC129" i="2"/>
  <c r="AB129" i="2"/>
  <c r="AA129" i="2"/>
  <c r="Z129" i="2"/>
  <c r="Y129" i="2"/>
  <c r="X129" i="2"/>
  <c r="W129" i="2"/>
  <c r="U129" i="2"/>
  <c r="V129" i="2"/>
  <c r="T129" i="2"/>
  <c r="AF129" i="2"/>
  <c r="S129" i="2"/>
  <c r="R129" i="2"/>
  <c r="Q129" i="2"/>
  <c r="P129" i="2"/>
  <c r="O129" i="2"/>
  <c r="N129" i="2"/>
  <c r="L129" i="2"/>
  <c r="K129" i="2"/>
  <c r="AM128" i="2"/>
  <c r="AL128" i="2"/>
  <c r="AK128" i="2"/>
  <c r="AJ128" i="2"/>
  <c r="AI128" i="2"/>
  <c r="AH128" i="2"/>
  <c r="AG128" i="2"/>
  <c r="AE128" i="2"/>
  <c r="AD128" i="2"/>
  <c r="AC128" i="2"/>
  <c r="AB128" i="2"/>
  <c r="AA128" i="2"/>
  <c r="Z128" i="2"/>
  <c r="Y128" i="2"/>
  <c r="X128" i="2"/>
  <c r="W128" i="2"/>
  <c r="U128" i="2"/>
  <c r="V128" i="2"/>
  <c r="T128" i="2"/>
  <c r="AF128" i="2"/>
  <c r="S128" i="2"/>
  <c r="R128" i="2"/>
  <c r="Q128" i="2"/>
  <c r="P128" i="2"/>
  <c r="O128" i="2"/>
  <c r="N128" i="2"/>
  <c r="L128" i="2"/>
  <c r="K128" i="2"/>
  <c r="AM127" i="2"/>
  <c r="AL127" i="2"/>
  <c r="AK127" i="2"/>
  <c r="AJ127" i="2"/>
  <c r="AI127" i="2"/>
  <c r="AH127" i="2"/>
  <c r="AG127" i="2"/>
  <c r="AE127" i="2"/>
  <c r="AD127" i="2"/>
  <c r="AC127" i="2"/>
  <c r="AB127" i="2"/>
  <c r="AA127" i="2"/>
  <c r="Z127" i="2"/>
  <c r="Y127" i="2"/>
  <c r="X127" i="2"/>
  <c r="W127" i="2"/>
  <c r="U127" i="2"/>
  <c r="V127" i="2"/>
  <c r="T127" i="2"/>
  <c r="AF127" i="2"/>
  <c r="S127" i="2"/>
  <c r="R127" i="2"/>
  <c r="Q127" i="2"/>
  <c r="P127" i="2"/>
  <c r="O127" i="2"/>
  <c r="N127" i="2"/>
  <c r="L127" i="2"/>
  <c r="AM126" i="2"/>
  <c r="AL126" i="2"/>
  <c r="AK126" i="2"/>
  <c r="AJ126" i="2"/>
  <c r="AI126" i="2"/>
  <c r="AH126" i="2"/>
  <c r="AG126" i="2"/>
  <c r="AE126" i="2"/>
  <c r="AD126" i="2"/>
  <c r="AC126" i="2"/>
  <c r="AB126" i="2"/>
  <c r="AA126" i="2"/>
  <c r="Z126" i="2"/>
  <c r="Y126" i="2"/>
  <c r="X126" i="2"/>
  <c r="W126" i="2"/>
  <c r="U126" i="2"/>
  <c r="V126" i="2"/>
  <c r="T126" i="2"/>
  <c r="AF126" i="2"/>
  <c r="S126" i="2"/>
  <c r="R126" i="2"/>
  <c r="Q126" i="2"/>
  <c r="P126" i="2"/>
  <c r="O126" i="2"/>
  <c r="N126" i="2"/>
  <c r="L126" i="2"/>
  <c r="AM125" i="2"/>
  <c r="AL125" i="2"/>
  <c r="AK125" i="2"/>
  <c r="AJ125" i="2"/>
  <c r="AI125" i="2"/>
  <c r="AH125" i="2"/>
  <c r="AG125" i="2"/>
  <c r="AE125" i="2"/>
  <c r="AD125" i="2"/>
  <c r="AC125" i="2"/>
  <c r="AB125" i="2"/>
  <c r="AA125" i="2"/>
  <c r="Z125" i="2"/>
  <c r="Y125" i="2"/>
  <c r="X125" i="2"/>
  <c r="W125" i="2"/>
  <c r="U125" i="2"/>
  <c r="V125" i="2"/>
  <c r="T125" i="2"/>
  <c r="AF125" i="2"/>
  <c r="S125" i="2"/>
  <c r="R125" i="2"/>
  <c r="Q125" i="2"/>
  <c r="P125" i="2"/>
  <c r="O125" i="2"/>
  <c r="N125" i="2"/>
  <c r="L125" i="2"/>
  <c r="K125" i="2"/>
  <c r="AM124" i="2"/>
  <c r="AL124" i="2"/>
  <c r="AK124" i="2"/>
  <c r="AJ124" i="2"/>
  <c r="AI124" i="2"/>
  <c r="AH124" i="2"/>
  <c r="AG124" i="2"/>
  <c r="AE124" i="2"/>
  <c r="AD124" i="2"/>
  <c r="AC124" i="2"/>
  <c r="AB124" i="2"/>
  <c r="AA124" i="2"/>
  <c r="Z124" i="2"/>
  <c r="Y124" i="2"/>
  <c r="X124" i="2"/>
  <c r="W124" i="2"/>
  <c r="U124" i="2"/>
  <c r="V124" i="2"/>
  <c r="T124" i="2"/>
  <c r="AF124" i="2"/>
  <c r="S124" i="2"/>
  <c r="R124" i="2"/>
  <c r="Q124" i="2"/>
  <c r="P124" i="2"/>
  <c r="O124" i="2"/>
  <c r="N124" i="2"/>
  <c r="L124" i="2"/>
  <c r="AM123" i="2"/>
  <c r="AL123" i="2"/>
  <c r="AK123" i="2"/>
  <c r="AJ123" i="2"/>
  <c r="AI123" i="2"/>
  <c r="AH123" i="2"/>
  <c r="AG123" i="2"/>
  <c r="AE123" i="2"/>
  <c r="AD123" i="2"/>
  <c r="AC123" i="2"/>
  <c r="AB123" i="2"/>
  <c r="AA123" i="2"/>
  <c r="Z123" i="2"/>
  <c r="Y123" i="2"/>
  <c r="X123" i="2"/>
  <c r="W123" i="2"/>
  <c r="U123" i="2"/>
  <c r="V123" i="2"/>
  <c r="T123" i="2"/>
  <c r="AF123" i="2"/>
  <c r="S123" i="2"/>
  <c r="R123" i="2"/>
  <c r="Q123" i="2"/>
  <c r="P123" i="2"/>
  <c r="O123" i="2"/>
  <c r="N123" i="2"/>
  <c r="L123" i="2"/>
  <c r="AM122" i="2"/>
  <c r="AL122" i="2"/>
  <c r="AK122" i="2"/>
  <c r="AJ122" i="2"/>
  <c r="AI122" i="2"/>
  <c r="AH122" i="2"/>
  <c r="AG122" i="2"/>
  <c r="AE122" i="2"/>
  <c r="AD122" i="2"/>
  <c r="AC122" i="2"/>
  <c r="AB122" i="2"/>
  <c r="AA122" i="2"/>
  <c r="Z122" i="2"/>
  <c r="Y122" i="2"/>
  <c r="X122" i="2"/>
  <c r="W122" i="2"/>
  <c r="U122" i="2"/>
  <c r="V122" i="2"/>
  <c r="T122" i="2"/>
  <c r="AF122" i="2"/>
  <c r="S122" i="2"/>
  <c r="R122" i="2"/>
  <c r="Q122" i="2"/>
  <c r="P122" i="2"/>
  <c r="O122" i="2"/>
  <c r="N122" i="2"/>
  <c r="L122" i="2"/>
  <c r="AM121" i="2"/>
  <c r="AL121" i="2"/>
  <c r="AK121" i="2"/>
  <c r="AJ121" i="2"/>
  <c r="AI121" i="2"/>
  <c r="AH121" i="2"/>
  <c r="AG121" i="2"/>
  <c r="AE121" i="2"/>
  <c r="AD121" i="2"/>
  <c r="AC121" i="2"/>
  <c r="AB121" i="2"/>
  <c r="AA121" i="2"/>
  <c r="Z121" i="2"/>
  <c r="Y121" i="2"/>
  <c r="X121" i="2"/>
  <c r="W121" i="2"/>
  <c r="U121" i="2"/>
  <c r="V121" i="2"/>
  <c r="T121" i="2"/>
  <c r="AF121" i="2"/>
  <c r="S121" i="2"/>
  <c r="R121" i="2"/>
  <c r="Q121" i="2"/>
  <c r="P121" i="2"/>
  <c r="O121" i="2"/>
  <c r="N121" i="2"/>
  <c r="L121" i="2"/>
  <c r="AM120" i="2"/>
  <c r="AL120" i="2"/>
  <c r="AK120" i="2"/>
  <c r="AJ120" i="2"/>
  <c r="AI120" i="2"/>
  <c r="AH120" i="2"/>
  <c r="AG120" i="2"/>
  <c r="AE120" i="2"/>
  <c r="AD120" i="2"/>
  <c r="AC120" i="2"/>
  <c r="AB120" i="2"/>
  <c r="AA120" i="2"/>
  <c r="Z120" i="2"/>
  <c r="Y120" i="2"/>
  <c r="X120" i="2"/>
  <c r="W120" i="2"/>
  <c r="U120" i="2"/>
  <c r="V120" i="2"/>
  <c r="T120" i="2"/>
  <c r="AF120" i="2"/>
  <c r="S120" i="2"/>
  <c r="R120" i="2"/>
  <c r="Q120" i="2"/>
  <c r="P120" i="2"/>
  <c r="O120" i="2"/>
  <c r="N120" i="2"/>
  <c r="L120" i="2"/>
  <c r="AM119" i="2"/>
  <c r="AL119" i="2"/>
  <c r="AK119" i="2"/>
  <c r="AJ119" i="2"/>
  <c r="AI119" i="2"/>
  <c r="AH119" i="2"/>
  <c r="AG119" i="2"/>
  <c r="AE119" i="2"/>
  <c r="AD119" i="2"/>
  <c r="AC119" i="2"/>
  <c r="AB119" i="2"/>
  <c r="AA119" i="2"/>
  <c r="Z119" i="2"/>
  <c r="Y119" i="2"/>
  <c r="X119" i="2"/>
  <c r="W119" i="2"/>
  <c r="U119" i="2"/>
  <c r="V119" i="2"/>
  <c r="T119" i="2"/>
  <c r="AF119" i="2"/>
  <c r="S119" i="2"/>
  <c r="R119" i="2"/>
  <c r="Q119" i="2"/>
  <c r="P119" i="2"/>
  <c r="O119" i="2"/>
  <c r="N119" i="2"/>
  <c r="L119" i="2"/>
  <c r="K119" i="2"/>
  <c r="AM118" i="2"/>
  <c r="AL118" i="2"/>
  <c r="AK118" i="2"/>
  <c r="AJ118" i="2"/>
  <c r="AI118" i="2"/>
  <c r="AH118" i="2"/>
  <c r="AG118" i="2"/>
  <c r="AE118" i="2"/>
  <c r="AD118" i="2"/>
  <c r="AC118" i="2"/>
  <c r="AB118" i="2"/>
  <c r="AA118" i="2"/>
  <c r="Z118" i="2"/>
  <c r="Y118" i="2"/>
  <c r="X118" i="2"/>
  <c r="W118" i="2"/>
  <c r="U118" i="2"/>
  <c r="V118" i="2"/>
  <c r="T118" i="2"/>
  <c r="AF118" i="2"/>
  <c r="S118" i="2"/>
  <c r="R118" i="2"/>
  <c r="Q118" i="2"/>
  <c r="P118" i="2"/>
  <c r="O118" i="2"/>
  <c r="N118" i="2"/>
  <c r="L118" i="2"/>
  <c r="AM117" i="2"/>
  <c r="AL117" i="2"/>
  <c r="AK117" i="2"/>
  <c r="AJ117" i="2"/>
  <c r="AI117" i="2"/>
  <c r="AH117" i="2"/>
  <c r="AG117" i="2"/>
  <c r="AE117" i="2"/>
  <c r="AD117" i="2"/>
  <c r="AC117" i="2"/>
  <c r="AB117" i="2"/>
  <c r="AA117" i="2"/>
  <c r="Z117" i="2"/>
  <c r="Y117" i="2"/>
  <c r="X117" i="2"/>
  <c r="W117" i="2"/>
  <c r="U117" i="2"/>
  <c r="V117" i="2"/>
  <c r="T117" i="2"/>
  <c r="AF117" i="2"/>
  <c r="S117" i="2"/>
  <c r="R117" i="2"/>
  <c r="Q117" i="2"/>
  <c r="P117" i="2"/>
  <c r="O117" i="2"/>
  <c r="N117" i="2"/>
  <c r="L117" i="2"/>
  <c r="AM116" i="2"/>
  <c r="AL116" i="2"/>
  <c r="AK116" i="2"/>
  <c r="AJ116" i="2"/>
  <c r="AI116" i="2"/>
  <c r="AH116" i="2"/>
  <c r="AG116" i="2"/>
  <c r="AE116" i="2"/>
  <c r="AD116" i="2"/>
  <c r="AC116" i="2"/>
  <c r="AB116" i="2"/>
  <c r="AA116" i="2"/>
  <c r="Z116" i="2"/>
  <c r="Y116" i="2"/>
  <c r="X116" i="2"/>
  <c r="W116" i="2"/>
  <c r="U116" i="2"/>
  <c r="V116" i="2"/>
  <c r="T116" i="2"/>
  <c r="AF116" i="2"/>
  <c r="S116" i="2"/>
  <c r="R116" i="2"/>
  <c r="Q116" i="2"/>
  <c r="P116" i="2"/>
  <c r="O116" i="2"/>
  <c r="N116" i="2"/>
  <c r="L116" i="2"/>
  <c r="AM115" i="2"/>
  <c r="AL115" i="2"/>
  <c r="AK115" i="2"/>
  <c r="AJ115" i="2"/>
  <c r="AI115" i="2"/>
  <c r="AH115" i="2"/>
  <c r="AG115" i="2"/>
  <c r="AE115" i="2"/>
  <c r="AD115" i="2"/>
  <c r="AC115" i="2"/>
  <c r="AB115" i="2"/>
  <c r="AA115" i="2"/>
  <c r="Z115" i="2"/>
  <c r="Y115" i="2"/>
  <c r="X115" i="2"/>
  <c r="W115" i="2"/>
  <c r="U115" i="2"/>
  <c r="V115" i="2"/>
  <c r="T115" i="2"/>
  <c r="AF115" i="2"/>
  <c r="S115" i="2"/>
  <c r="R115" i="2"/>
  <c r="P115" i="2"/>
  <c r="O115" i="2"/>
  <c r="N115" i="2"/>
  <c r="L115" i="2"/>
  <c r="AM114" i="2"/>
  <c r="AL114" i="2"/>
  <c r="AK114" i="2"/>
  <c r="AJ114" i="2"/>
  <c r="AI114" i="2"/>
  <c r="AH114" i="2"/>
  <c r="AG114" i="2"/>
  <c r="AE114" i="2"/>
  <c r="AD114" i="2"/>
  <c r="AC114" i="2"/>
  <c r="AB114" i="2"/>
  <c r="AA114" i="2"/>
  <c r="Z114" i="2"/>
  <c r="Y114" i="2"/>
  <c r="X114" i="2"/>
  <c r="W114" i="2"/>
  <c r="U114" i="2"/>
  <c r="V114" i="2"/>
  <c r="T114" i="2"/>
  <c r="AF114" i="2"/>
  <c r="S114" i="2"/>
  <c r="R114" i="2"/>
  <c r="Q114" i="2"/>
  <c r="P114" i="2"/>
  <c r="O114" i="2"/>
  <c r="N114" i="2"/>
  <c r="L114" i="2"/>
  <c r="AM113" i="2"/>
  <c r="AL113" i="2"/>
  <c r="AK113" i="2"/>
  <c r="AJ113" i="2"/>
  <c r="AI113" i="2"/>
  <c r="AH113" i="2"/>
  <c r="AG113" i="2"/>
  <c r="AE113" i="2"/>
  <c r="AD113" i="2"/>
  <c r="AC113" i="2"/>
  <c r="AB113" i="2"/>
  <c r="AA113" i="2"/>
  <c r="Z113" i="2"/>
  <c r="Y113" i="2"/>
  <c r="X113" i="2"/>
  <c r="W113" i="2"/>
  <c r="U113" i="2"/>
  <c r="V113" i="2"/>
  <c r="T113" i="2"/>
  <c r="AF113" i="2"/>
  <c r="S113" i="2"/>
  <c r="R113" i="2"/>
  <c r="Q113" i="2"/>
  <c r="P113" i="2"/>
  <c r="O113" i="2"/>
  <c r="N113" i="2"/>
  <c r="L113" i="2"/>
  <c r="K113" i="2"/>
  <c r="M177" i="2" l="1"/>
  <c r="M181" i="2"/>
  <c r="M160" i="2"/>
  <c r="M155" i="2"/>
  <c r="M152" i="2"/>
  <c r="M147" i="2"/>
  <c r="M168" i="2"/>
  <c r="M172" i="2"/>
  <c r="M176" i="2"/>
  <c r="M144" i="2"/>
  <c r="M174" i="2"/>
  <c r="M149" i="2"/>
  <c r="M164" i="2"/>
  <c r="M170" i="2"/>
  <c r="N182" i="2"/>
  <c r="R182" i="2"/>
  <c r="V182" i="2"/>
  <c r="Z182" i="2"/>
  <c r="AD182" i="2"/>
  <c r="AH182" i="2"/>
  <c r="AL182" i="2"/>
  <c r="M159" i="2"/>
  <c r="M154" i="2"/>
  <c r="AA182" i="2"/>
  <c r="AM182" i="2"/>
  <c r="O182" i="2"/>
  <c r="W182" i="2"/>
  <c r="AI182" i="2"/>
  <c r="P182" i="2"/>
  <c r="T182" i="2"/>
  <c r="X182" i="2"/>
  <c r="AB182" i="2"/>
  <c r="AF182" i="2"/>
  <c r="AJ182" i="2"/>
  <c r="M146" i="2"/>
  <c r="M150" i="2"/>
  <c r="M153" i="2"/>
  <c r="M156" i="2"/>
  <c r="M158" i="2"/>
  <c r="M161" i="2"/>
  <c r="M163" i="2"/>
  <c r="M165" i="2"/>
  <c r="M167" i="2"/>
  <c r="S182" i="2"/>
  <c r="AE182" i="2"/>
  <c r="M148" i="2"/>
  <c r="M143" i="2"/>
  <c r="Q182" i="2"/>
  <c r="U182" i="2"/>
  <c r="Y182" i="2"/>
  <c r="AC182" i="2"/>
  <c r="AG182" i="2"/>
  <c r="AK182" i="2"/>
  <c r="M145" i="2"/>
  <c r="M151" i="2"/>
  <c r="M157" i="2"/>
  <c r="M162" i="2"/>
  <c r="M166" i="2"/>
  <c r="M169" i="2"/>
  <c r="M171" i="2"/>
  <c r="M173" i="2"/>
  <c r="M175" i="2"/>
  <c r="M136" i="2"/>
  <c r="M137" i="2"/>
  <c r="M127" i="2"/>
  <c r="M130" i="2"/>
  <c r="M116" i="2"/>
  <c r="M126" i="2"/>
  <c r="M134" i="2"/>
  <c r="M138" i="2"/>
  <c r="M114" i="2"/>
  <c r="M129" i="2"/>
  <c r="M128" i="2"/>
  <c r="M117" i="2"/>
  <c r="M132" i="2"/>
  <c r="M133" i="2"/>
  <c r="M139" i="2"/>
  <c r="M125" i="2"/>
  <c r="M135" i="2"/>
  <c r="M118" i="2"/>
  <c r="M131" i="2"/>
  <c r="M140" i="2"/>
  <c r="M141" i="2"/>
  <c r="M121" i="2"/>
  <c r="M124" i="2"/>
  <c r="M123" i="2"/>
  <c r="M120" i="2"/>
  <c r="M122" i="2"/>
  <c r="M115" i="2"/>
  <c r="O142" i="2"/>
  <c r="S142" i="2"/>
  <c r="U142" i="2"/>
  <c r="Z142" i="2"/>
  <c r="AD142" i="2"/>
  <c r="AI142" i="2"/>
  <c r="AM142" i="2"/>
  <c r="P142" i="2"/>
  <c r="AF142" i="2"/>
  <c r="W142" i="2"/>
  <c r="AA142" i="2"/>
  <c r="AE142" i="2"/>
  <c r="AJ142" i="2"/>
  <c r="M119" i="2"/>
  <c r="M113" i="2"/>
  <c r="Q142" i="2"/>
  <c r="X142" i="2"/>
  <c r="AB142" i="2"/>
  <c r="AG142" i="2"/>
  <c r="AK142" i="2"/>
  <c r="R142" i="2"/>
  <c r="Y142" i="2"/>
  <c r="AH142" i="2"/>
  <c r="T142" i="2"/>
  <c r="V142" i="2"/>
  <c r="AC142" i="2"/>
  <c r="AL142" i="2"/>
  <c r="N142" i="2"/>
  <c r="AM97" i="2"/>
  <c r="AL97" i="2"/>
  <c r="AK97" i="2"/>
  <c r="AJ97" i="2"/>
  <c r="AI97" i="2"/>
  <c r="AH97" i="2"/>
  <c r="AG97" i="2"/>
  <c r="AE97" i="2"/>
  <c r="AD97" i="2"/>
  <c r="AC97" i="2"/>
  <c r="AB97" i="2"/>
  <c r="AA97" i="2"/>
  <c r="Z97" i="2"/>
  <c r="Y97" i="2"/>
  <c r="X97" i="2"/>
  <c r="W97" i="2"/>
  <c r="U97" i="2"/>
  <c r="V97" i="2"/>
  <c r="T97" i="2"/>
  <c r="AF97" i="2"/>
  <c r="S97" i="2"/>
  <c r="R97" i="2"/>
  <c r="P97" i="2"/>
  <c r="O97" i="2"/>
  <c r="N97" i="2"/>
  <c r="L97" i="2"/>
  <c r="AM96" i="2"/>
  <c r="AL96" i="2"/>
  <c r="AK96" i="2"/>
  <c r="AJ96" i="2"/>
  <c r="AI96" i="2"/>
  <c r="AH96" i="2"/>
  <c r="AG96" i="2"/>
  <c r="AE96" i="2"/>
  <c r="AD96" i="2"/>
  <c r="AC96" i="2"/>
  <c r="AB96" i="2"/>
  <c r="AA96" i="2"/>
  <c r="Z96" i="2"/>
  <c r="Y96" i="2"/>
  <c r="X96" i="2"/>
  <c r="W96" i="2"/>
  <c r="U96" i="2"/>
  <c r="V96" i="2"/>
  <c r="T96" i="2"/>
  <c r="AF96" i="2"/>
  <c r="S96" i="2"/>
  <c r="R96" i="2"/>
  <c r="P96" i="2"/>
  <c r="O96" i="2"/>
  <c r="N96" i="2"/>
  <c r="L96" i="2"/>
  <c r="N83" i="2"/>
  <c r="AM83" i="2"/>
  <c r="AL83" i="2"/>
  <c r="AK83" i="2"/>
  <c r="AJ83" i="2"/>
  <c r="AI83" i="2"/>
  <c r="AH83" i="2"/>
  <c r="AG83" i="2"/>
  <c r="AE83" i="2"/>
  <c r="AD83" i="2"/>
  <c r="AC83" i="2"/>
  <c r="AB83" i="2"/>
  <c r="AA83" i="2"/>
  <c r="Z83" i="2"/>
  <c r="Y83" i="2"/>
  <c r="X83" i="2"/>
  <c r="W83" i="2"/>
  <c r="U83" i="2"/>
  <c r="V83" i="2"/>
  <c r="T83" i="2"/>
  <c r="AF83" i="2"/>
  <c r="S83" i="2"/>
  <c r="R83" i="2"/>
  <c r="P83" i="2"/>
  <c r="O83" i="2"/>
  <c r="L83" i="2"/>
  <c r="B21" i="14"/>
  <c r="J112" i="2"/>
  <c r="J80" i="2"/>
  <c r="J20" i="2"/>
  <c r="K109" i="2"/>
  <c r="K108" i="2"/>
  <c r="K104" i="2"/>
  <c r="K100" i="2"/>
  <c r="K95" i="2"/>
  <c r="K92" i="2"/>
  <c r="K91" i="2"/>
  <c r="K88" i="2"/>
  <c r="K87" i="2"/>
  <c r="K84" i="2"/>
  <c r="K82" i="2"/>
  <c r="L112" i="2"/>
  <c r="AM111" i="2"/>
  <c r="AL111" i="2"/>
  <c r="AK111" i="2"/>
  <c r="AJ111" i="2"/>
  <c r="AI111" i="2"/>
  <c r="AH111" i="2"/>
  <c r="AG111" i="2"/>
  <c r="AE111" i="2"/>
  <c r="AD111" i="2"/>
  <c r="AC111" i="2"/>
  <c r="AB111" i="2"/>
  <c r="AA111" i="2"/>
  <c r="Z111" i="2"/>
  <c r="Y111" i="2"/>
  <c r="X111" i="2"/>
  <c r="W111" i="2"/>
  <c r="U111" i="2"/>
  <c r="V111" i="2"/>
  <c r="T111" i="2"/>
  <c r="AF111" i="2"/>
  <c r="S111" i="2"/>
  <c r="R111" i="2"/>
  <c r="Q111" i="2"/>
  <c r="P111" i="2"/>
  <c r="O111" i="2"/>
  <c r="N111" i="2"/>
  <c r="L111" i="2"/>
  <c r="K111" i="2"/>
  <c r="AM110" i="2"/>
  <c r="AL110" i="2"/>
  <c r="AK110" i="2"/>
  <c r="AJ110" i="2"/>
  <c r="AI110" i="2"/>
  <c r="AH110" i="2"/>
  <c r="AG110" i="2"/>
  <c r="AE110" i="2"/>
  <c r="AD110" i="2"/>
  <c r="AC110" i="2"/>
  <c r="AB110" i="2"/>
  <c r="AA110" i="2"/>
  <c r="Z110" i="2"/>
  <c r="Y110" i="2"/>
  <c r="X110" i="2"/>
  <c r="W110" i="2"/>
  <c r="U110" i="2"/>
  <c r="V110" i="2"/>
  <c r="T110" i="2"/>
  <c r="AF110" i="2"/>
  <c r="S110" i="2"/>
  <c r="R110" i="2"/>
  <c r="Q110" i="2"/>
  <c r="P110" i="2"/>
  <c r="O110" i="2"/>
  <c r="N110" i="2"/>
  <c r="L110" i="2"/>
  <c r="K110" i="2"/>
  <c r="AM109" i="2"/>
  <c r="AL109" i="2"/>
  <c r="AK109" i="2"/>
  <c r="AJ109" i="2"/>
  <c r="AI109" i="2"/>
  <c r="AH109" i="2"/>
  <c r="AG109" i="2"/>
  <c r="AE109" i="2"/>
  <c r="AD109" i="2"/>
  <c r="AC109" i="2"/>
  <c r="AB109" i="2"/>
  <c r="AA109" i="2"/>
  <c r="Z109" i="2"/>
  <c r="Y109" i="2"/>
  <c r="X109" i="2"/>
  <c r="W109" i="2"/>
  <c r="U109" i="2"/>
  <c r="V109" i="2"/>
  <c r="T109" i="2"/>
  <c r="AF109" i="2"/>
  <c r="S109" i="2"/>
  <c r="R109" i="2"/>
  <c r="Q109" i="2"/>
  <c r="P109" i="2"/>
  <c r="O109" i="2"/>
  <c r="N109" i="2"/>
  <c r="L109" i="2"/>
  <c r="AM108" i="2"/>
  <c r="AL108" i="2"/>
  <c r="AK108" i="2"/>
  <c r="AJ108" i="2"/>
  <c r="AI108" i="2"/>
  <c r="AH108" i="2"/>
  <c r="AG108" i="2"/>
  <c r="AE108" i="2"/>
  <c r="AD108" i="2"/>
  <c r="AC108" i="2"/>
  <c r="AB108" i="2"/>
  <c r="AA108" i="2"/>
  <c r="Z108" i="2"/>
  <c r="Y108" i="2"/>
  <c r="X108" i="2"/>
  <c r="W108" i="2"/>
  <c r="U108" i="2"/>
  <c r="V108" i="2"/>
  <c r="T108" i="2"/>
  <c r="AF108" i="2"/>
  <c r="S108" i="2"/>
  <c r="R108" i="2"/>
  <c r="Q108" i="2"/>
  <c r="P108" i="2"/>
  <c r="O108" i="2"/>
  <c r="N108" i="2"/>
  <c r="L108" i="2"/>
  <c r="AM107" i="2"/>
  <c r="AL107" i="2"/>
  <c r="AK107" i="2"/>
  <c r="AJ107" i="2"/>
  <c r="AI107" i="2"/>
  <c r="AH107" i="2"/>
  <c r="AG107" i="2"/>
  <c r="AE107" i="2"/>
  <c r="AD107" i="2"/>
  <c r="AC107" i="2"/>
  <c r="AB107" i="2"/>
  <c r="AA107" i="2"/>
  <c r="Z107" i="2"/>
  <c r="Y107" i="2"/>
  <c r="X107" i="2"/>
  <c r="W107" i="2"/>
  <c r="U107" i="2"/>
  <c r="V107" i="2"/>
  <c r="T107" i="2"/>
  <c r="AF107" i="2"/>
  <c r="S107" i="2"/>
  <c r="R107" i="2"/>
  <c r="Q107" i="2"/>
  <c r="P107" i="2"/>
  <c r="O107" i="2"/>
  <c r="N107" i="2"/>
  <c r="L107" i="2"/>
  <c r="K107" i="2"/>
  <c r="AM106" i="2"/>
  <c r="AL106" i="2"/>
  <c r="AK106" i="2"/>
  <c r="AJ106" i="2"/>
  <c r="AI106" i="2"/>
  <c r="AH106" i="2"/>
  <c r="AG106" i="2"/>
  <c r="AE106" i="2"/>
  <c r="AD106" i="2"/>
  <c r="AC106" i="2"/>
  <c r="AB106" i="2"/>
  <c r="AA106" i="2"/>
  <c r="Z106" i="2"/>
  <c r="Y106" i="2"/>
  <c r="X106" i="2"/>
  <c r="W106" i="2"/>
  <c r="U106" i="2"/>
  <c r="V106" i="2"/>
  <c r="T106" i="2"/>
  <c r="AF106" i="2"/>
  <c r="S106" i="2"/>
  <c r="R106" i="2"/>
  <c r="Q106" i="2"/>
  <c r="P106" i="2"/>
  <c r="O106" i="2"/>
  <c r="N106" i="2"/>
  <c r="L106" i="2"/>
  <c r="K106" i="2"/>
  <c r="AM105" i="2"/>
  <c r="AL105" i="2"/>
  <c r="AK105" i="2"/>
  <c r="AJ105" i="2"/>
  <c r="AI105" i="2"/>
  <c r="AH105" i="2"/>
  <c r="AG105" i="2"/>
  <c r="AE105" i="2"/>
  <c r="AD105" i="2"/>
  <c r="AC105" i="2"/>
  <c r="AB105" i="2"/>
  <c r="AA105" i="2"/>
  <c r="Z105" i="2"/>
  <c r="Y105" i="2"/>
  <c r="X105" i="2"/>
  <c r="W105" i="2"/>
  <c r="U105" i="2"/>
  <c r="V105" i="2"/>
  <c r="T105" i="2"/>
  <c r="AF105" i="2"/>
  <c r="S105" i="2"/>
  <c r="R105" i="2"/>
  <c r="Q105" i="2"/>
  <c r="P105" i="2"/>
  <c r="O105" i="2"/>
  <c r="N105" i="2"/>
  <c r="L105" i="2"/>
  <c r="K105" i="2"/>
  <c r="AM104" i="2"/>
  <c r="AL104" i="2"/>
  <c r="AK104" i="2"/>
  <c r="AJ104" i="2"/>
  <c r="AI104" i="2"/>
  <c r="AH104" i="2"/>
  <c r="AG104" i="2"/>
  <c r="AE104" i="2"/>
  <c r="AD104" i="2"/>
  <c r="AC104" i="2"/>
  <c r="AB104" i="2"/>
  <c r="AA104" i="2"/>
  <c r="Z104" i="2"/>
  <c r="Y104" i="2"/>
  <c r="X104" i="2"/>
  <c r="W104" i="2"/>
  <c r="U104" i="2"/>
  <c r="V104" i="2"/>
  <c r="T104" i="2"/>
  <c r="AF104" i="2"/>
  <c r="S104" i="2"/>
  <c r="R104" i="2"/>
  <c r="Q104" i="2"/>
  <c r="P104" i="2"/>
  <c r="O104" i="2"/>
  <c r="N104" i="2"/>
  <c r="L104" i="2"/>
  <c r="AM103" i="2"/>
  <c r="AL103" i="2"/>
  <c r="AK103" i="2"/>
  <c r="AJ103" i="2"/>
  <c r="AI103" i="2"/>
  <c r="AH103" i="2"/>
  <c r="AG103" i="2"/>
  <c r="AE103" i="2"/>
  <c r="AD103" i="2"/>
  <c r="AC103" i="2"/>
  <c r="AB103" i="2"/>
  <c r="AA103" i="2"/>
  <c r="Z103" i="2"/>
  <c r="Y103" i="2"/>
  <c r="X103" i="2"/>
  <c r="W103" i="2"/>
  <c r="U103" i="2"/>
  <c r="V103" i="2"/>
  <c r="T103" i="2"/>
  <c r="AF103" i="2"/>
  <c r="S103" i="2"/>
  <c r="R103" i="2"/>
  <c r="Q103" i="2"/>
  <c r="P103" i="2"/>
  <c r="O103" i="2"/>
  <c r="N103" i="2"/>
  <c r="L103" i="2"/>
  <c r="K103" i="2"/>
  <c r="AM102" i="2"/>
  <c r="AL102" i="2"/>
  <c r="AK102" i="2"/>
  <c r="AJ102" i="2"/>
  <c r="AI102" i="2"/>
  <c r="AH102" i="2"/>
  <c r="AG102" i="2"/>
  <c r="AE102" i="2"/>
  <c r="AD102" i="2"/>
  <c r="AC102" i="2"/>
  <c r="AB102" i="2"/>
  <c r="AA102" i="2"/>
  <c r="Z102" i="2"/>
  <c r="Y102" i="2"/>
  <c r="X102" i="2"/>
  <c r="W102" i="2"/>
  <c r="U102" i="2"/>
  <c r="V102" i="2"/>
  <c r="T102" i="2"/>
  <c r="AF102" i="2"/>
  <c r="S102" i="2"/>
  <c r="R102" i="2"/>
  <c r="Q102" i="2"/>
  <c r="P102" i="2"/>
  <c r="O102" i="2"/>
  <c r="N102" i="2"/>
  <c r="L102" i="2"/>
  <c r="K102" i="2"/>
  <c r="AM101" i="2"/>
  <c r="AL101" i="2"/>
  <c r="AK101" i="2"/>
  <c r="AJ101" i="2"/>
  <c r="AI101" i="2"/>
  <c r="AH101" i="2"/>
  <c r="AG101" i="2"/>
  <c r="AE101" i="2"/>
  <c r="AD101" i="2"/>
  <c r="AC101" i="2"/>
  <c r="AB101" i="2"/>
  <c r="AA101" i="2"/>
  <c r="Z101" i="2"/>
  <c r="Y101" i="2"/>
  <c r="X101" i="2"/>
  <c r="W101" i="2"/>
  <c r="U101" i="2"/>
  <c r="V101" i="2"/>
  <c r="T101" i="2"/>
  <c r="AF101" i="2"/>
  <c r="S101" i="2"/>
  <c r="R101" i="2"/>
  <c r="Q101" i="2"/>
  <c r="P101" i="2"/>
  <c r="O101" i="2"/>
  <c r="N101" i="2"/>
  <c r="L101" i="2"/>
  <c r="K101" i="2"/>
  <c r="AM100" i="2"/>
  <c r="AL100" i="2"/>
  <c r="AK100" i="2"/>
  <c r="AJ100" i="2"/>
  <c r="AI100" i="2"/>
  <c r="AH100" i="2"/>
  <c r="AG100" i="2"/>
  <c r="AE100" i="2"/>
  <c r="AD100" i="2"/>
  <c r="AC100" i="2"/>
  <c r="AB100" i="2"/>
  <c r="AA100" i="2"/>
  <c r="Z100" i="2"/>
  <c r="Y100" i="2"/>
  <c r="X100" i="2"/>
  <c r="W100" i="2"/>
  <c r="U100" i="2"/>
  <c r="V100" i="2"/>
  <c r="T100" i="2"/>
  <c r="AF100" i="2"/>
  <c r="S100" i="2"/>
  <c r="R100" i="2"/>
  <c r="Q100" i="2"/>
  <c r="P100" i="2"/>
  <c r="O100" i="2"/>
  <c r="N100" i="2"/>
  <c r="L100" i="2"/>
  <c r="AM99" i="2"/>
  <c r="AL99" i="2"/>
  <c r="AK99" i="2"/>
  <c r="AJ99" i="2"/>
  <c r="AI99" i="2"/>
  <c r="AH99" i="2"/>
  <c r="AG99" i="2"/>
  <c r="AE99" i="2"/>
  <c r="AD99" i="2"/>
  <c r="AC99" i="2"/>
  <c r="AB99" i="2"/>
  <c r="AA99" i="2"/>
  <c r="Z99" i="2"/>
  <c r="Y99" i="2"/>
  <c r="X99" i="2"/>
  <c r="W99" i="2"/>
  <c r="U99" i="2"/>
  <c r="V99" i="2"/>
  <c r="T99" i="2"/>
  <c r="AF99" i="2"/>
  <c r="S99" i="2"/>
  <c r="R99" i="2"/>
  <c r="Q99" i="2"/>
  <c r="P99" i="2"/>
  <c r="O99" i="2"/>
  <c r="N99" i="2"/>
  <c r="L99" i="2"/>
  <c r="K99" i="2"/>
  <c r="AM98" i="2"/>
  <c r="AL98" i="2"/>
  <c r="AK98" i="2"/>
  <c r="AJ98" i="2"/>
  <c r="AI98" i="2"/>
  <c r="AH98" i="2"/>
  <c r="AG98" i="2"/>
  <c r="AE98" i="2"/>
  <c r="AD98" i="2"/>
  <c r="AC98" i="2"/>
  <c r="AB98" i="2"/>
  <c r="AA98" i="2"/>
  <c r="Z98" i="2"/>
  <c r="Y98" i="2"/>
  <c r="X98" i="2"/>
  <c r="W98" i="2"/>
  <c r="U98" i="2"/>
  <c r="V98" i="2"/>
  <c r="T98" i="2"/>
  <c r="AF98" i="2"/>
  <c r="S98" i="2"/>
  <c r="R98" i="2"/>
  <c r="Q98" i="2"/>
  <c r="P98" i="2"/>
  <c r="O98" i="2"/>
  <c r="N98" i="2"/>
  <c r="L98" i="2"/>
  <c r="K98" i="2"/>
  <c r="AM95" i="2"/>
  <c r="AL95" i="2"/>
  <c r="AK95" i="2"/>
  <c r="AJ95" i="2"/>
  <c r="AI95" i="2"/>
  <c r="AH95" i="2"/>
  <c r="AG95" i="2"/>
  <c r="AE95" i="2"/>
  <c r="AD95" i="2"/>
  <c r="AC95" i="2"/>
  <c r="AB95" i="2"/>
  <c r="AA95" i="2"/>
  <c r="Z95" i="2"/>
  <c r="Y95" i="2"/>
  <c r="X95" i="2"/>
  <c r="W95" i="2"/>
  <c r="U95" i="2"/>
  <c r="V95" i="2"/>
  <c r="T95" i="2"/>
  <c r="AF95" i="2"/>
  <c r="S95" i="2"/>
  <c r="R95" i="2"/>
  <c r="Q95" i="2"/>
  <c r="P95" i="2"/>
  <c r="O95" i="2"/>
  <c r="N95" i="2"/>
  <c r="L95" i="2"/>
  <c r="AM94" i="2"/>
  <c r="AL94" i="2"/>
  <c r="AK94" i="2"/>
  <c r="AJ94" i="2"/>
  <c r="AI94" i="2"/>
  <c r="AH94" i="2"/>
  <c r="AG94" i="2"/>
  <c r="AE94" i="2"/>
  <c r="AD94" i="2"/>
  <c r="AC94" i="2"/>
  <c r="AB94" i="2"/>
  <c r="AA94" i="2"/>
  <c r="Z94" i="2"/>
  <c r="Y94" i="2"/>
  <c r="X94" i="2"/>
  <c r="W94" i="2"/>
  <c r="U94" i="2"/>
  <c r="V94" i="2"/>
  <c r="T94" i="2"/>
  <c r="AF94" i="2"/>
  <c r="S94" i="2"/>
  <c r="R94" i="2"/>
  <c r="Q94" i="2"/>
  <c r="P94" i="2"/>
  <c r="O94" i="2"/>
  <c r="N94" i="2"/>
  <c r="L94" i="2"/>
  <c r="K94" i="2"/>
  <c r="AM93" i="2"/>
  <c r="AL93" i="2"/>
  <c r="AK93" i="2"/>
  <c r="AJ93" i="2"/>
  <c r="AI93" i="2"/>
  <c r="AH93" i="2"/>
  <c r="AG93" i="2"/>
  <c r="AE93" i="2"/>
  <c r="AD93" i="2"/>
  <c r="AC93" i="2"/>
  <c r="AB93" i="2"/>
  <c r="AA93" i="2"/>
  <c r="Z93" i="2"/>
  <c r="Y93" i="2"/>
  <c r="X93" i="2"/>
  <c r="W93" i="2"/>
  <c r="U93" i="2"/>
  <c r="V93" i="2"/>
  <c r="T93" i="2"/>
  <c r="AF93" i="2"/>
  <c r="S93" i="2"/>
  <c r="R93" i="2"/>
  <c r="Q93" i="2"/>
  <c r="P93" i="2"/>
  <c r="O93" i="2"/>
  <c r="N93" i="2"/>
  <c r="L93" i="2"/>
  <c r="K93" i="2"/>
  <c r="AM92" i="2"/>
  <c r="AL92" i="2"/>
  <c r="AK92" i="2"/>
  <c r="AJ92" i="2"/>
  <c r="AI92" i="2"/>
  <c r="AH92" i="2"/>
  <c r="AG92" i="2"/>
  <c r="AE92" i="2"/>
  <c r="AD92" i="2"/>
  <c r="AC92" i="2"/>
  <c r="AB92" i="2"/>
  <c r="AA92" i="2"/>
  <c r="Z92" i="2"/>
  <c r="Y92" i="2"/>
  <c r="X92" i="2"/>
  <c r="W92" i="2"/>
  <c r="U92" i="2"/>
  <c r="V92" i="2"/>
  <c r="T92" i="2"/>
  <c r="AF92" i="2"/>
  <c r="S92" i="2"/>
  <c r="R92" i="2"/>
  <c r="Q92" i="2"/>
  <c r="P92" i="2"/>
  <c r="O92" i="2"/>
  <c r="N92" i="2"/>
  <c r="L92" i="2"/>
  <c r="AM91" i="2"/>
  <c r="AL91" i="2"/>
  <c r="AK91" i="2"/>
  <c r="AJ91" i="2"/>
  <c r="AI91" i="2"/>
  <c r="AH91" i="2"/>
  <c r="AG91" i="2"/>
  <c r="AE91" i="2"/>
  <c r="AD91" i="2"/>
  <c r="AC91" i="2"/>
  <c r="AB91" i="2"/>
  <c r="AA91" i="2"/>
  <c r="Z91" i="2"/>
  <c r="Y91" i="2"/>
  <c r="X91" i="2"/>
  <c r="W91" i="2"/>
  <c r="U91" i="2"/>
  <c r="V91" i="2"/>
  <c r="T91" i="2"/>
  <c r="AF91" i="2"/>
  <c r="S91" i="2"/>
  <c r="R91" i="2"/>
  <c r="Q91" i="2"/>
  <c r="P91" i="2"/>
  <c r="O91" i="2"/>
  <c r="N91" i="2"/>
  <c r="L91" i="2"/>
  <c r="AM90" i="2"/>
  <c r="AL90" i="2"/>
  <c r="AK90" i="2"/>
  <c r="AJ90" i="2"/>
  <c r="AI90" i="2"/>
  <c r="AH90" i="2"/>
  <c r="AG90" i="2"/>
  <c r="AE90" i="2"/>
  <c r="AD90" i="2"/>
  <c r="AC90" i="2"/>
  <c r="AB90" i="2"/>
  <c r="AA90" i="2"/>
  <c r="Z90" i="2"/>
  <c r="Y90" i="2"/>
  <c r="X90" i="2"/>
  <c r="W90" i="2"/>
  <c r="U90" i="2"/>
  <c r="V90" i="2"/>
  <c r="T90" i="2"/>
  <c r="AF90" i="2"/>
  <c r="S90" i="2"/>
  <c r="R90" i="2"/>
  <c r="Q90" i="2"/>
  <c r="P90" i="2"/>
  <c r="O90" i="2"/>
  <c r="N90" i="2"/>
  <c r="L90" i="2"/>
  <c r="K90" i="2"/>
  <c r="AM89" i="2"/>
  <c r="AL89" i="2"/>
  <c r="AK89" i="2"/>
  <c r="AJ89" i="2"/>
  <c r="AI89" i="2"/>
  <c r="AH89" i="2"/>
  <c r="AG89" i="2"/>
  <c r="AE89" i="2"/>
  <c r="AD89" i="2"/>
  <c r="AC89" i="2"/>
  <c r="AB89" i="2"/>
  <c r="AA89" i="2"/>
  <c r="Z89" i="2"/>
  <c r="Y89" i="2"/>
  <c r="X89" i="2"/>
  <c r="W89" i="2"/>
  <c r="U89" i="2"/>
  <c r="V89" i="2"/>
  <c r="T89" i="2"/>
  <c r="AF89" i="2"/>
  <c r="S89" i="2"/>
  <c r="R89" i="2"/>
  <c r="Q89" i="2"/>
  <c r="P89" i="2"/>
  <c r="O89" i="2"/>
  <c r="N89" i="2"/>
  <c r="L89" i="2"/>
  <c r="K89" i="2"/>
  <c r="AM88" i="2"/>
  <c r="AL88" i="2"/>
  <c r="AK88" i="2"/>
  <c r="AJ88" i="2"/>
  <c r="AI88" i="2"/>
  <c r="AH88" i="2"/>
  <c r="AG88" i="2"/>
  <c r="AE88" i="2"/>
  <c r="AD88" i="2"/>
  <c r="AC88" i="2"/>
  <c r="AB88" i="2"/>
  <c r="AA88" i="2"/>
  <c r="Z88" i="2"/>
  <c r="Y88" i="2"/>
  <c r="X88" i="2"/>
  <c r="W88" i="2"/>
  <c r="U88" i="2"/>
  <c r="V88" i="2"/>
  <c r="T88" i="2"/>
  <c r="AF88" i="2"/>
  <c r="S88" i="2"/>
  <c r="R88" i="2"/>
  <c r="Q88" i="2"/>
  <c r="P88" i="2"/>
  <c r="O88" i="2"/>
  <c r="N88" i="2"/>
  <c r="L88" i="2"/>
  <c r="AM87" i="2"/>
  <c r="AL87" i="2"/>
  <c r="AK87" i="2"/>
  <c r="AJ87" i="2"/>
  <c r="AI87" i="2"/>
  <c r="AH87" i="2"/>
  <c r="AG87" i="2"/>
  <c r="AE87" i="2"/>
  <c r="AD87" i="2"/>
  <c r="AC87" i="2"/>
  <c r="AB87" i="2"/>
  <c r="AA87" i="2"/>
  <c r="Z87" i="2"/>
  <c r="Y87" i="2"/>
  <c r="X87" i="2"/>
  <c r="W87" i="2"/>
  <c r="U87" i="2"/>
  <c r="V87" i="2"/>
  <c r="T87" i="2"/>
  <c r="AF87" i="2"/>
  <c r="S87" i="2"/>
  <c r="R87" i="2"/>
  <c r="Q87" i="2"/>
  <c r="P87" i="2"/>
  <c r="O87" i="2"/>
  <c r="N87" i="2"/>
  <c r="L87" i="2"/>
  <c r="AM86" i="2"/>
  <c r="AL86" i="2"/>
  <c r="AK86" i="2"/>
  <c r="AJ86" i="2"/>
  <c r="AI86" i="2"/>
  <c r="AH86" i="2"/>
  <c r="AG86" i="2"/>
  <c r="AE86" i="2"/>
  <c r="AD86" i="2"/>
  <c r="AC86" i="2"/>
  <c r="AB86" i="2"/>
  <c r="AA86" i="2"/>
  <c r="Z86" i="2"/>
  <c r="Y86" i="2"/>
  <c r="X86" i="2"/>
  <c r="W86" i="2"/>
  <c r="U86" i="2"/>
  <c r="V86" i="2"/>
  <c r="T86" i="2"/>
  <c r="AF86" i="2"/>
  <c r="S86" i="2"/>
  <c r="R86" i="2"/>
  <c r="Q86" i="2"/>
  <c r="P86" i="2"/>
  <c r="O86" i="2"/>
  <c r="N86" i="2"/>
  <c r="L86" i="2"/>
  <c r="K86" i="2"/>
  <c r="AM85" i="2"/>
  <c r="AL85" i="2"/>
  <c r="AK85" i="2"/>
  <c r="AJ85" i="2"/>
  <c r="AI85" i="2"/>
  <c r="AH85" i="2"/>
  <c r="AG85" i="2"/>
  <c r="AE85" i="2"/>
  <c r="AD85" i="2"/>
  <c r="AC85" i="2"/>
  <c r="AB85" i="2"/>
  <c r="AA85" i="2"/>
  <c r="Z85" i="2"/>
  <c r="Y85" i="2"/>
  <c r="X85" i="2"/>
  <c r="W85" i="2"/>
  <c r="U85" i="2"/>
  <c r="V85" i="2"/>
  <c r="T85" i="2"/>
  <c r="AF85" i="2"/>
  <c r="S85" i="2"/>
  <c r="R85" i="2"/>
  <c r="Q85" i="2"/>
  <c r="P85" i="2"/>
  <c r="O85" i="2"/>
  <c r="N85" i="2"/>
  <c r="L85" i="2"/>
  <c r="K85" i="2"/>
  <c r="AM84" i="2"/>
  <c r="AL84" i="2"/>
  <c r="AK84" i="2"/>
  <c r="AJ84" i="2"/>
  <c r="AI84" i="2"/>
  <c r="AH84" i="2"/>
  <c r="AG84" i="2"/>
  <c r="AE84" i="2"/>
  <c r="AD84" i="2"/>
  <c r="AC84" i="2"/>
  <c r="AB84" i="2"/>
  <c r="AA84" i="2"/>
  <c r="Z84" i="2"/>
  <c r="Y84" i="2"/>
  <c r="X84" i="2"/>
  <c r="W84" i="2"/>
  <c r="U84" i="2"/>
  <c r="V84" i="2"/>
  <c r="T84" i="2"/>
  <c r="AF84" i="2"/>
  <c r="S84" i="2"/>
  <c r="R84" i="2"/>
  <c r="Q84" i="2"/>
  <c r="P84" i="2"/>
  <c r="O84" i="2"/>
  <c r="N84" i="2"/>
  <c r="L84" i="2"/>
  <c r="AM82" i="2"/>
  <c r="AL82" i="2"/>
  <c r="AK82" i="2"/>
  <c r="AJ82" i="2"/>
  <c r="AI82" i="2"/>
  <c r="AH82" i="2"/>
  <c r="AG82" i="2"/>
  <c r="AE82" i="2"/>
  <c r="AD82" i="2"/>
  <c r="AC82" i="2"/>
  <c r="AB82" i="2"/>
  <c r="AA82" i="2"/>
  <c r="Z82" i="2"/>
  <c r="Y82" i="2"/>
  <c r="X82" i="2"/>
  <c r="W82" i="2"/>
  <c r="U82" i="2"/>
  <c r="V82" i="2"/>
  <c r="T82" i="2"/>
  <c r="AF82" i="2"/>
  <c r="S82" i="2"/>
  <c r="R82" i="2"/>
  <c r="Q82" i="2"/>
  <c r="P82" i="2"/>
  <c r="O82" i="2"/>
  <c r="N82" i="2"/>
  <c r="L82" i="2"/>
  <c r="AM81" i="2"/>
  <c r="AL81" i="2"/>
  <c r="AK81" i="2"/>
  <c r="AJ81" i="2"/>
  <c r="AI81" i="2"/>
  <c r="AH81" i="2"/>
  <c r="AG81" i="2"/>
  <c r="AE81" i="2"/>
  <c r="AD81" i="2"/>
  <c r="AC81" i="2"/>
  <c r="AB81" i="2"/>
  <c r="AA81" i="2"/>
  <c r="Z81" i="2"/>
  <c r="Y81" i="2"/>
  <c r="X81" i="2"/>
  <c r="W81" i="2"/>
  <c r="U81" i="2"/>
  <c r="V81" i="2"/>
  <c r="T81" i="2"/>
  <c r="AF81" i="2"/>
  <c r="S81" i="2"/>
  <c r="R81" i="2"/>
  <c r="Q81" i="2"/>
  <c r="P81" i="2"/>
  <c r="O81" i="2"/>
  <c r="N81" i="2"/>
  <c r="L81" i="2"/>
  <c r="K81" i="2"/>
  <c r="AN182" i="2" l="1"/>
  <c r="M182" i="2"/>
  <c r="AN142" i="2"/>
  <c r="M142" i="2"/>
  <c r="M96" i="2"/>
  <c r="M97" i="2"/>
  <c r="M83" i="2"/>
  <c r="M110" i="2"/>
  <c r="M111" i="2"/>
  <c r="O112" i="2"/>
  <c r="U112" i="2"/>
  <c r="AD112" i="2"/>
  <c r="AI112" i="2"/>
  <c r="S112" i="2"/>
  <c r="Z112" i="2"/>
  <c r="AM112" i="2"/>
  <c r="M109" i="2"/>
  <c r="M108" i="2"/>
  <c r="M82" i="2"/>
  <c r="M105" i="2"/>
  <c r="M106" i="2"/>
  <c r="M107" i="2"/>
  <c r="M84" i="2"/>
  <c r="M87" i="2"/>
  <c r="M89" i="2"/>
  <c r="M90" i="2"/>
  <c r="M92" i="2"/>
  <c r="M95" i="2"/>
  <c r="M98" i="2"/>
  <c r="M101" i="2"/>
  <c r="M103" i="2"/>
  <c r="P112" i="2"/>
  <c r="AJ112" i="2"/>
  <c r="M99" i="2"/>
  <c r="M100" i="2"/>
  <c r="W112" i="2"/>
  <c r="AE112" i="2"/>
  <c r="Q112" i="2"/>
  <c r="T112" i="2"/>
  <c r="X112" i="2"/>
  <c r="AB112" i="2"/>
  <c r="AG112" i="2"/>
  <c r="AK112" i="2"/>
  <c r="M85" i="2"/>
  <c r="M86" i="2"/>
  <c r="M88" i="2"/>
  <c r="M91" i="2"/>
  <c r="M93" i="2"/>
  <c r="M94" i="2"/>
  <c r="AF112" i="2"/>
  <c r="AA112" i="2"/>
  <c r="N112" i="2"/>
  <c r="R112" i="2"/>
  <c r="V112" i="2"/>
  <c r="Y112" i="2"/>
  <c r="AC112" i="2"/>
  <c r="AH112" i="2"/>
  <c r="AL112" i="2"/>
  <c r="M102" i="2"/>
  <c r="M104" i="2"/>
  <c r="M81" i="2"/>
  <c r="AN112" i="2" l="1"/>
  <c r="M112" i="2"/>
  <c r="AM65" i="2"/>
  <c r="AL65" i="2"/>
  <c r="AK65" i="2"/>
  <c r="AJ65" i="2"/>
  <c r="AI65" i="2"/>
  <c r="AH65" i="2"/>
  <c r="AG65" i="2"/>
  <c r="AE65" i="2"/>
  <c r="AD65" i="2"/>
  <c r="AC65" i="2"/>
  <c r="AB65" i="2"/>
  <c r="AA65" i="2"/>
  <c r="Z65" i="2"/>
  <c r="Y65" i="2"/>
  <c r="X65" i="2"/>
  <c r="W65" i="2"/>
  <c r="U65" i="2"/>
  <c r="V65" i="2"/>
  <c r="T65" i="2"/>
  <c r="AF65" i="2"/>
  <c r="S65" i="2"/>
  <c r="R65" i="2"/>
  <c r="Q65" i="2"/>
  <c r="P65" i="2"/>
  <c r="O65" i="2"/>
  <c r="N65" i="2"/>
  <c r="O43" i="2"/>
  <c r="P43" i="2"/>
  <c r="R43" i="2"/>
  <c r="S43" i="2"/>
  <c r="AF43" i="2"/>
  <c r="T43" i="2"/>
  <c r="V43" i="2"/>
  <c r="U43" i="2"/>
  <c r="W43" i="2"/>
  <c r="X43" i="2"/>
  <c r="Y43" i="2"/>
  <c r="Z43" i="2"/>
  <c r="AA43" i="2"/>
  <c r="AB43" i="2"/>
  <c r="AC43" i="2"/>
  <c r="AD43" i="2"/>
  <c r="AE43" i="2"/>
  <c r="AG43" i="2"/>
  <c r="AH43" i="2"/>
  <c r="AI43" i="2"/>
  <c r="AJ43" i="2"/>
  <c r="AK43" i="2"/>
  <c r="AL43" i="2"/>
  <c r="AM43" i="2"/>
  <c r="L43" i="2"/>
  <c r="AM17" i="2"/>
  <c r="AL17" i="2"/>
  <c r="AK17" i="2"/>
  <c r="AJ17" i="2"/>
  <c r="AI17" i="2"/>
  <c r="AH17" i="2"/>
  <c r="AG17" i="2"/>
  <c r="AE17" i="2"/>
  <c r="AD17" i="2"/>
  <c r="AC17" i="2"/>
  <c r="AB17" i="2"/>
  <c r="AA17" i="2"/>
  <c r="Z17" i="2"/>
  <c r="Y17" i="2"/>
  <c r="X17" i="2"/>
  <c r="W17" i="2"/>
  <c r="U17" i="2"/>
  <c r="V17" i="2"/>
  <c r="T17" i="2"/>
  <c r="AF17" i="2"/>
  <c r="S17" i="2"/>
  <c r="R17" i="2"/>
  <c r="Q17" i="2"/>
  <c r="P17" i="2"/>
  <c r="O17" i="2"/>
  <c r="N17" i="2"/>
  <c r="L17" i="2"/>
  <c r="K17" i="2"/>
  <c r="AM18" i="2"/>
  <c r="AL18" i="2"/>
  <c r="AK18" i="2"/>
  <c r="AJ18" i="2"/>
  <c r="AI18" i="2"/>
  <c r="AH18" i="2"/>
  <c r="AG18" i="2"/>
  <c r="AE18" i="2"/>
  <c r="AD18" i="2"/>
  <c r="AC18" i="2"/>
  <c r="AB18" i="2"/>
  <c r="AA18" i="2"/>
  <c r="Z18" i="2"/>
  <c r="Y18" i="2"/>
  <c r="X18" i="2"/>
  <c r="W18" i="2"/>
  <c r="U18" i="2"/>
  <c r="V18" i="2"/>
  <c r="T18" i="2"/>
  <c r="AF18" i="2"/>
  <c r="S18" i="2"/>
  <c r="R18" i="2"/>
  <c r="Q18" i="2"/>
  <c r="P18" i="2"/>
  <c r="O18" i="2"/>
  <c r="N18" i="2"/>
  <c r="L18" i="2"/>
  <c r="K18" i="2"/>
  <c r="AM19" i="2"/>
  <c r="AL19" i="2"/>
  <c r="AK19" i="2"/>
  <c r="AJ19" i="2"/>
  <c r="AI19" i="2"/>
  <c r="AH19" i="2"/>
  <c r="AG19" i="2"/>
  <c r="AE19" i="2"/>
  <c r="AD19" i="2"/>
  <c r="AC19" i="2"/>
  <c r="AB19" i="2"/>
  <c r="AA19" i="2"/>
  <c r="Z19" i="2"/>
  <c r="Y19" i="2"/>
  <c r="X19" i="2"/>
  <c r="W19" i="2"/>
  <c r="U19" i="2"/>
  <c r="V19" i="2"/>
  <c r="T19" i="2"/>
  <c r="AF19" i="2"/>
  <c r="S19" i="2"/>
  <c r="R19" i="2"/>
  <c r="Q19" i="2"/>
  <c r="P19" i="2"/>
  <c r="O19" i="2"/>
  <c r="N19" i="2"/>
  <c r="L19" i="2"/>
  <c r="K19" i="2"/>
  <c r="E21" i="12"/>
  <c r="C21" i="12"/>
  <c r="E20" i="12"/>
  <c r="C20" i="12"/>
  <c r="E19" i="12"/>
  <c r="C19" i="12"/>
  <c r="E18" i="12"/>
  <c r="C18" i="12"/>
  <c r="E17" i="12"/>
  <c r="C17" i="1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AM79" i="2"/>
  <c r="AL79" i="2"/>
  <c r="AK79" i="2"/>
  <c r="AE79" i="2"/>
  <c r="AD79" i="2"/>
  <c r="AC79" i="2"/>
  <c r="AB79" i="2"/>
  <c r="AA79" i="2"/>
  <c r="Z79" i="2"/>
  <c r="Y79" i="2"/>
  <c r="AI79" i="2"/>
  <c r="X79" i="2"/>
  <c r="W79" i="2"/>
  <c r="AH79" i="2"/>
  <c r="AG79" i="2"/>
  <c r="U79" i="2"/>
  <c r="V79" i="2"/>
  <c r="AJ79" i="2"/>
  <c r="T79" i="2"/>
  <c r="AF79" i="2"/>
  <c r="S79" i="2"/>
  <c r="R79" i="2"/>
  <c r="Q79" i="2"/>
  <c r="P79" i="2"/>
  <c r="O79" i="2"/>
  <c r="N79" i="2"/>
  <c r="L79" i="2"/>
  <c r="K79" i="2"/>
  <c r="AM78" i="2"/>
  <c r="AL78" i="2"/>
  <c r="AK78" i="2"/>
  <c r="AE78" i="2"/>
  <c r="AD78" i="2"/>
  <c r="AC78" i="2"/>
  <c r="AB78" i="2"/>
  <c r="AA78" i="2"/>
  <c r="Z78" i="2"/>
  <c r="Y78" i="2"/>
  <c r="AI78" i="2"/>
  <c r="X78" i="2"/>
  <c r="W78" i="2"/>
  <c r="AH78" i="2"/>
  <c r="AG78" i="2"/>
  <c r="U78" i="2"/>
  <c r="V78" i="2"/>
  <c r="AJ78" i="2"/>
  <c r="T78" i="2"/>
  <c r="AF78" i="2"/>
  <c r="S78" i="2"/>
  <c r="R78" i="2"/>
  <c r="Q78" i="2"/>
  <c r="P78" i="2"/>
  <c r="O78" i="2"/>
  <c r="N78" i="2"/>
  <c r="L78" i="2"/>
  <c r="K78" i="2"/>
  <c r="AM77" i="2"/>
  <c r="AL77" i="2"/>
  <c r="AK77" i="2"/>
  <c r="AE77" i="2"/>
  <c r="AD77" i="2"/>
  <c r="AC77" i="2"/>
  <c r="AB77" i="2"/>
  <c r="AA77" i="2"/>
  <c r="Z77" i="2"/>
  <c r="Y77" i="2"/>
  <c r="AI77" i="2"/>
  <c r="X77" i="2"/>
  <c r="W77" i="2"/>
  <c r="AH77" i="2"/>
  <c r="AG77" i="2"/>
  <c r="U77" i="2"/>
  <c r="V77" i="2"/>
  <c r="AJ77" i="2"/>
  <c r="T77" i="2"/>
  <c r="AF77" i="2"/>
  <c r="S77" i="2"/>
  <c r="R77" i="2"/>
  <c r="Q77" i="2"/>
  <c r="P77" i="2"/>
  <c r="O77" i="2"/>
  <c r="N77" i="2"/>
  <c r="L77" i="2"/>
  <c r="K77" i="2"/>
  <c r="AM76" i="2"/>
  <c r="AL76" i="2"/>
  <c r="AK76" i="2"/>
  <c r="AE76" i="2"/>
  <c r="AD76" i="2"/>
  <c r="AC76" i="2"/>
  <c r="AB76" i="2"/>
  <c r="AA76" i="2"/>
  <c r="Z76" i="2"/>
  <c r="Y76" i="2"/>
  <c r="AI76" i="2"/>
  <c r="X76" i="2"/>
  <c r="W76" i="2"/>
  <c r="AH76" i="2"/>
  <c r="AG76" i="2"/>
  <c r="U76" i="2"/>
  <c r="V76" i="2"/>
  <c r="AJ76" i="2"/>
  <c r="T76" i="2"/>
  <c r="AF76" i="2"/>
  <c r="S76" i="2"/>
  <c r="R76" i="2"/>
  <c r="Q76" i="2"/>
  <c r="P76" i="2"/>
  <c r="O76" i="2"/>
  <c r="N76" i="2"/>
  <c r="L76" i="2"/>
  <c r="K76" i="2"/>
  <c r="AM75" i="2"/>
  <c r="AL75" i="2"/>
  <c r="AK75" i="2"/>
  <c r="AE75" i="2"/>
  <c r="AD75" i="2"/>
  <c r="AC75" i="2"/>
  <c r="AB75" i="2"/>
  <c r="AA75" i="2"/>
  <c r="Z75" i="2"/>
  <c r="Y75" i="2"/>
  <c r="AI75" i="2"/>
  <c r="X75" i="2"/>
  <c r="W75" i="2"/>
  <c r="AH75" i="2"/>
  <c r="AG75" i="2"/>
  <c r="U75" i="2"/>
  <c r="V75" i="2"/>
  <c r="AJ75" i="2"/>
  <c r="T75" i="2"/>
  <c r="AF75" i="2"/>
  <c r="S75" i="2"/>
  <c r="R75" i="2"/>
  <c r="Q75" i="2"/>
  <c r="P75" i="2"/>
  <c r="O75" i="2"/>
  <c r="N75" i="2"/>
  <c r="L75" i="2"/>
  <c r="K75" i="2"/>
  <c r="AM74" i="2"/>
  <c r="AL74" i="2"/>
  <c r="AK74" i="2"/>
  <c r="AE74" i="2"/>
  <c r="AD74" i="2"/>
  <c r="AC74" i="2"/>
  <c r="AB74" i="2"/>
  <c r="AA74" i="2"/>
  <c r="Z74" i="2"/>
  <c r="Y74" i="2"/>
  <c r="AI74" i="2"/>
  <c r="X74" i="2"/>
  <c r="W74" i="2"/>
  <c r="AH74" i="2"/>
  <c r="AG74" i="2"/>
  <c r="U74" i="2"/>
  <c r="V74" i="2"/>
  <c r="AJ74" i="2"/>
  <c r="T74" i="2"/>
  <c r="AF74" i="2"/>
  <c r="S74" i="2"/>
  <c r="R74" i="2"/>
  <c r="Q74" i="2"/>
  <c r="P74" i="2"/>
  <c r="O74" i="2"/>
  <c r="N74" i="2"/>
  <c r="L74" i="2"/>
  <c r="K74" i="2"/>
  <c r="AM73" i="2"/>
  <c r="AL73" i="2"/>
  <c r="AK73" i="2"/>
  <c r="AE73" i="2"/>
  <c r="AD73" i="2"/>
  <c r="AC73" i="2"/>
  <c r="AB73" i="2"/>
  <c r="AA73" i="2"/>
  <c r="Z73" i="2"/>
  <c r="Y73" i="2"/>
  <c r="AI73" i="2"/>
  <c r="X73" i="2"/>
  <c r="W73" i="2"/>
  <c r="AH73" i="2"/>
  <c r="AG73" i="2"/>
  <c r="U73" i="2"/>
  <c r="V73" i="2"/>
  <c r="AJ73" i="2"/>
  <c r="T73" i="2"/>
  <c r="AF73" i="2"/>
  <c r="S73" i="2"/>
  <c r="R73" i="2"/>
  <c r="Q73" i="2"/>
  <c r="P73" i="2"/>
  <c r="O73" i="2"/>
  <c r="N73" i="2"/>
  <c r="L73" i="2"/>
  <c r="K73" i="2"/>
  <c r="AM72" i="2"/>
  <c r="AL72" i="2"/>
  <c r="AK72" i="2"/>
  <c r="AE72" i="2"/>
  <c r="AD72" i="2"/>
  <c r="AC72" i="2"/>
  <c r="AB72" i="2"/>
  <c r="AA72" i="2"/>
  <c r="Z72" i="2"/>
  <c r="Y72" i="2"/>
  <c r="AI72" i="2"/>
  <c r="X72" i="2"/>
  <c r="W72" i="2"/>
  <c r="AH72" i="2"/>
  <c r="AG72" i="2"/>
  <c r="U72" i="2"/>
  <c r="V72" i="2"/>
  <c r="AJ72" i="2"/>
  <c r="T72" i="2"/>
  <c r="AF72" i="2"/>
  <c r="S72" i="2"/>
  <c r="R72" i="2"/>
  <c r="Q72" i="2"/>
  <c r="P72" i="2"/>
  <c r="O72" i="2"/>
  <c r="N72" i="2"/>
  <c r="L72" i="2"/>
  <c r="K72" i="2"/>
  <c r="AM71" i="2"/>
  <c r="AL71" i="2"/>
  <c r="AK71" i="2"/>
  <c r="AE71" i="2"/>
  <c r="AD71" i="2"/>
  <c r="AC71" i="2"/>
  <c r="AB71" i="2"/>
  <c r="AA71" i="2"/>
  <c r="Z71" i="2"/>
  <c r="Y71" i="2"/>
  <c r="AI71" i="2"/>
  <c r="X71" i="2"/>
  <c r="W71" i="2"/>
  <c r="AH71" i="2"/>
  <c r="AG71" i="2"/>
  <c r="U71" i="2"/>
  <c r="V71" i="2"/>
  <c r="AJ71" i="2"/>
  <c r="T71" i="2"/>
  <c r="AF71" i="2"/>
  <c r="S71" i="2"/>
  <c r="R71" i="2"/>
  <c r="Q71" i="2"/>
  <c r="P71" i="2"/>
  <c r="O71" i="2"/>
  <c r="N71" i="2"/>
  <c r="L71" i="2"/>
  <c r="K71" i="2"/>
  <c r="AM70" i="2"/>
  <c r="AL70" i="2"/>
  <c r="AK70" i="2"/>
  <c r="AE70" i="2"/>
  <c r="AD70" i="2"/>
  <c r="AC70" i="2"/>
  <c r="AB70" i="2"/>
  <c r="AA70" i="2"/>
  <c r="Z70" i="2"/>
  <c r="Y70" i="2"/>
  <c r="AI70" i="2"/>
  <c r="X70" i="2"/>
  <c r="W70" i="2"/>
  <c r="AH70" i="2"/>
  <c r="AG70" i="2"/>
  <c r="U70" i="2"/>
  <c r="V70" i="2"/>
  <c r="AJ70" i="2"/>
  <c r="T70" i="2"/>
  <c r="AF70" i="2"/>
  <c r="S70" i="2"/>
  <c r="R70" i="2"/>
  <c r="Q70" i="2"/>
  <c r="P70" i="2"/>
  <c r="O70" i="2"/>
  <c r="N70" i="2"/>
  <c r="L70" i="2"/>
  <c r="K70" i="2"/>
  <c r="AM69" i="2"/>
  <c r="AL69" i="2"/>
  <c r="AK69" i="2"/>
  <c r="AE69" i="2"/>
  <c r="AD69" i="2"/>
  <c r="AC69" i="2"/>
  <c r="AB69" i="2"/>
  <c r="AA69" i="2"/>
  <c r="Z69" i="2"/>
  <c r="Y69" i="2"/>
  <c r="AI69" i="2"/>
  <c r="X69" i="2"/>
  <c r="W69" i="2"/>
  <c r="AH69" i="2"/>
  <c r="AG69" i="2"/>
  <c r="U69" i="2"/>
  <c r="V69" i="2"/>
  <c r="AJ69" i="2"/>
  <c r="T69" i="2"/>
  <c r="AF69" i="2"/>
  <c r="S69" i="2"/>
  <c r="R69" i="2"/>
  <c r="Q69" i="2"/>
  <c r="P69" i="2"/>
  <c r="O69" i="2"/>
  <c r="N69" i="2"/>
  <c r="L69" i="2"/>
  <c r="K69" i="2"/>
  <c r="AM68" i="2"/>
  <c r="AL68" i="2"/>
  <c r="AK68" i="2"/>
  <c r="AE68" i="2"/>
  <c r="AD68" i="2"/>
  <c r="AC68" i="2"/>
  <c r="AB68" i="2"/>
  <c r="AA68" i="2"/>
  <c r="Z68" i="2"/>
  <c r="Y68" i="2"/>
  <c r="AI68" i="2"/>
  <c r="X68" i="2"/>
  <c r="W68" i="2"/>
  <c r="AH68" i="2"/>
  <c r="AG68" i="2"/>
  <c r="U68" i="2"/>
  <c r="V68" i="2"/>
  <c r="AJ68" i="2"/>
  <c r="T68" i="2"/>
  <c r="AF68" i="2"/>
  <c r="S68" i="2"/>
  <c r="R68" i="2"/>
  <c r="Q68" i="2"/>
  <c r="P68" i="2"/>
  <c r="O68" i="2"/>
  <c r="N68" i="2"/>
  <c r="L68" i="2"/>
  <c r="K68" i="2"/>
  <c r="AM67" i="2"/>
  <c r="AL67" i="2"/>
  <c r="AK67" i="2"/>
  <c r="AE67" i="2"/>
  <c r="AD67" i="2"/>
  <c r="AC67" i="2"/>
  <c r="AB67" i="2"/>
  <c r="AA67" i="2"/>
  <c r="Z67" i="2"/>
  <c r="Y67" i="2"/>
  <c r="AI67" i="2"/>
  <c r="X67" i="2"/>
  <c r="W67" i="2"/>
  <c r="AH67" i="2"/>
  <c r="AG67" i="2"/>
  <c r="U67" i="2"/>
  <c r="V67" i="2"/>
  <c r="AJ67" i="2"/>
  <c r="T67" i="2"/>
  <c r="AF67" i="2"/>
  <c r="S67" i="2"/>
  <c r="R67" i="2"/>
  <c r="Q67" i="2"/>
  <c r="P67" i="2"/>
  <c r="O67" i="2"/>
  <c r="N67" i="2"/>
  <c r="L67" i="2"/>
  <c r="K67" i="2"/>
  <c r="AM66" i="2"/>
  <c r="AL66" i="2"/>
  <c r="AK66" i="2"/>
  <c r="AE66" i="2"/>
  <c r="AD66" i="2"/>
  <c r="AC66" i="2"/>
  <c r="AB66" i="2"/>
  <c r="AA66" i="2"/>
  <c r="Z66" i="2"/>
  <c r="Y66" i="2"/>
  <c r="AI66" i="2"/>
  <c r="X66" i="2"/>
  <c r="W66" i="2"/>
  <c r="AH66" i="2"/>
  <c r="AG66" i="2"/>
  <c r="U66" i="2"/>
  <c r="V66" i="2"/>
  <c r="AJ66" i="2"/>
  <c r="T66" i="2"/>
  <c r="AF66" i="2"/>
  <c r="S66" i="2"/>
  <c r="R66" i="2"/>
  <c r="Q66" i="2"/>
  <c r="P66" i="2"/>
  <c r="O66" i="2"/>
  <c r="N66" i="2"/>
  <c r="L66" i="2"/>
  <c r="K66" i="2"/>
  <c r="AM64" i="2"/>
  <c r="AL64" i="2"/>
  <c r="AK64" i="2"/>
  <c r="AE64" i="2"/>
  <c r="AD64" i="2"/>
  <c r="AC64" i="2"/>
  <c r="AB64" i="2"/>
  <c r="AA64" i="2"/>
  <c r="Z64" i="2"/>
  <c r="Y64" i="2"/>
  <c r="AI64" i="2"/>
  <c r="X64" i="2"/>
  <c r="W64" i="2"/>
  <c r="AH64" i="2"/>
  <c r="AG64" i="2"/>
  <c r="U64" i="2"/>
  <c r="V64" i="2"/>
  <c r="AJ64" i="2"/>
  <c r="T64" i="2"/>
  <c r="AF64" i="2"/>
  <c r="S64" i="2"/>
  <c r="R64" i="2"/>
  <c r="Q64" i="2"/>
  <c r="P64" i="2"/>
  <c r="O64" i="2"/>
  <c r="N64" i="2"/>
  <c r="L64" i="2"/>
  <c r="K64" i="2"/>
  <c r="AM63" i="2"/>
  <c r="AL63" i="2"/>
  <c r="AK63" i="2"/>
  <c r="AE63" i="2"/>
  <c r="AD63" i="2"/>
  <c r="AC63" i="2"/>
  <c r="AB63" i="2"/>
  <c r="AA63" i="2"/>
  <c r="Z63" i="2"/>
  <c r="Y63" i="2"/>
  <c r="AI63" i="2"/>
  <c r="X63" i="2"/>
  <c r="W63" i="2"/>
  <c r="AH63" i="2"/>
  <c r="AG63" i="2"/>
  <c r="U63" i="2"/>
  <c r="V63" i="2"/>
  <c r="AJ63" i="2"/>
  <c r="T63" i="2"/>
  <c r="AF63" i="2"/>
  <c r="S63" i="2"/>
  <c r="R63" i="2"/>
  <c r="Q63" i="2"/>
  <c r="P63" i="2"/>
  <c r="O63" i="2"/>
  <c r="N63" i="2"/>
  <c r="L63" i="2"/>
  <c r="K63" i="2"/>
  <c r="AM62" i="2"/>
  <c r="AL62" i="2"/>
  <c r="AK62" i="2"/>
  <c r="AE62" i="2"/>
  <c r="AD62" i="2"/>
  <c r="AC62" i="2"/>
  <c r="AB62" i="2"/>
  <c r="AA62" i="2"/>
  <c r="Z62" i="2"/>
  <c r="Y62" i="2"/>
  <c r="AI62" i="2"/>
  <c r="X62" i="2"/>
  <c r="W62" i="2"/>
  <c r="AH62" i="2"/>
  <c r="AG62" i="2"/>
  <c r="U62" i="2"/>
  <c r="V62" i="2"/>
  <c r="AJ62" i="2"/>
  <c r="T62" i="2"/>
  <c r="AF62" i="2"/>
  <c r="S62" i="2"/>
  <c r="R62" i="2"/>
  <c r="Q62" i="2"/>
  <c r="P62" i="2"/>
  <c r="O62" i="2"/>
  <c r="N62" i="2"/>
  <c r="L62" i="2"/>
  <c r="K62" i="2"/>
  <c r="AM61" i="2"/>
  <c r="AL61" i="2"/>
  <c r="AK61" i="2"/>
  <c r="AE61" i="2"/>
  <c r="AD61" i="2"/>
  <c r="AC61" i="2"/>
  <c r="AB61" i="2"/>
  <c r="AA61" i="2"/>
  <c r="Z61" i="2"/>
  <c r="Y61" i="2"/>
  <c r="AI61" i="2"/>
  <c r="X61" i="2"/>
  <c r="W61" i="2"/>
  <c r="AH61" i="2"/>
  <c r="AG61" i="2"/>
  <c r="U61" i="2"/>
  <c r="V61" i="2"/>
  <c r="AJ61" i="2"/>
  <c r="T61" i="2"/>
  <c r="AF61" i="2"/>
  <c r="S61" i="2"/>
  <c r="R61" i="2"/>
  <c r="Q61" i="2"/>
  <c r="P61" i="2"/>
  <c r="O61" i="2"/>
  <c r="N61" i="2"/>
  <c r="L61" i="2"/>
  <c r="K61" i="2"/>
  <c r="AM60" i="2"/>
  <c r="AL60" i="2"/>
  <c r="AK60" i="2"/>
  <c r="AE60" i="2"/>
  <c r="AD60" i="2"/>
  <c r="AC60" i="2"/>
  <c r="AB60" i="2"/>
  <c r="AA60" i="2"/>
  <c r="Z60" i="2"/>
  <c r="Y60" i="2"/>
  <c r="AI60" i="2"/>
  <c r="X60" i="2"/>
  <c r="W60" i="2"/>
  <c r="AH60" i="2"/>
  <c r="AG60" i="2"/>
  <c r="U60" i="2"/>
  <c r="V60" i="2"/>
  <c r="AJ60" i="2"/>
  <c r="T60" i="2"/>
  <c r="AF60" i="2"/>
  <c r="S60" i="2"/>
  <c r="R60" i="2"/>
  <c r="Q60" i="2"/>
  <c r="P60" i="2"/>
  <c r="O60" i="2"/>
  <c r="N60" i="2"/>
  <c r="L60" i="2"/>
  <c r="K60" i="2"/>
  <c r="AM59" i="2"/>
  <c r="AL59" i="2"/>
  <c r="AK59" i="2"/>
  <c r="AE59" i="2"/>
  <c r="AD59" i="2"/>
  <c r="AC59" i="2"/>
  <c r="AB59" i="2"/>
  <c r="AA59" i="2"/>
  <c r="Z59" i="2"/>
  <c r="Y59" i="2"/>
  <c r="AI59" i="2"/>
  <c r="X59" i="2"/>
  <c r="W59" i="2"/>
  <c r="AH59" i="2"/>
  <c r="AG59" i="2"/>
  <c r="U59" i="2"/>
  <c r="V59" i="2"/>
  <c r="AJ59" i="2"/>
  <c r="T59" i="2"/>
  <c r="AF59" i="2"/>
  <c r="S59" i="2"/>
  <c r="R59" i="2"/>
  <c r="Q59" i="2"/>
  <c r="P59" i="2"/>
  <c r="O59" i="2"/>
  <c r="N59" i="2"/>
  <c r="L59" i="2"/>
  <c r="K59" i="2"/>
  <c r="AM58" i="2"/>
  <c r="AL58" i="2"/>
  <c r="AK58" i="2"/>
  <c r="AE58" i="2"/>
  <c r="AD58" i="2"/>
  <c r="AC58" i="2"/>
  <c r="AB58" i="2"/>
  <c r="AA58" i="2"/>
  <c r="Z58" i="2"/>
  <c r="Y58" i="2"/>
  <c r="AI58" i="2"/>
  <c r="X58" i="2"/>
  <c r="W58" i="2"/>
  <c r="AH58" i="2"/>
  <c r="AG58" i="2"/>
  <c r="U58" i="2"/>
  <c r="V58" i="2"/>
  <c r="AJ58" i="2"/>
  <c r="T58" i="2"/>
  <c r="AF58" i="2"/>
  <c r="S58" i="2"/>
  <c r="R58" i="2"/>
  <c r="Q58" i="2"/>
  <c r="P58" i="2"/>
  <c r="O58" i="2"/>
  <c r="N58" i="2"/>
  <c r="L58" i="2"/>
  <c r="K58" i="2"/>
  <c r="AM57" i="2"/>
  <c r="AL57" i="2"/>
  <c r="AK57" i="2"/>
  <c r="AE57" i="2"/>
  <c r="AD57" i="2"/>
  <c r="AC57" i="2"/>
  <c r="AB57" i="2"/>
  <c r="AA57" i="2"/>
  <c r="Z57" i="2"/>
  <c r="Y57" i="2"/>
  <c r="AI57" i="2"/>
  <c r="X57" i="2"/>
  <c r="W57" i="2"/>
  <c r="AH57" i="2"/>
  <c r="AG57" i="2"/>
  <c r="U57" i="2"/>
  <c r="V57" i="2"/>
  <c r="AJ57" i="2"/>
  <c r="T57" i="2"/>
  <c r="AF57" i="2"/>
  <c r="S57" i="2"/>
  <c r="R57" i="2"/>
  <c r="Q57" i="2"/>
  <c r="P57" i="2"/>
  <c r="O57" i="2"/>
  <c r="N57" i="2"/>
  <c r="L57" i="2"/>
  <c r="K57" i="2"/>
  <c r="AM56" i="2"/>
  <c r="AL56" i="2"/>
  <c r="AK56" i="2"/>
  <c r="AE56" i="2"/>
  <c r="AD56" i="2"/>
  <c r="AC56" i="2"/>
  <c r="AB56" i="2"/>
  <c r="AA56" i="2"/>
  <c r="Z56" i="2"/>
  <c r="Y56" i="2"/>
  <c r="AI56" i="2"/>
  <c r="X56" i="2"/>
  <c r="W56" i="2"/>
  <c r="AH56" i="2"/>
  <c r="AG56" i="2"/>
  <c r="U56" i="2"/>
  <c r="V56" i="2"/>
  <c r="AJ56" i="2"/>
  <c r="T56" i="2"/>
  <c r="AF56" i="2"/>
  <c r="S56" i="2"/>
  <c r="R56" i="2"/>
  <c r="Q56" i="2"/>
  <c r="P56" i="2"/>
  <c r="O56" i="2"/>
  <c r="N56" i="2"/>
  <c r="L56" i="2"/>
  <c r="K56" i="2"/>
  <c r="AM55" i="2"/>
  <c r="AL55" i="2"/>
  <c r="AK55" i="2"/>
  <c r="AE55" i="2"/>
  <c r="AD55" i="2"/>
  <c r="AC55" i="2"/>
  <c r="AB55" i="2"/>
  <c r="AA55" i="2"/>
  <c r="Z55" i="2"/>
  <c r="Y55" i="2"/>
  <c r="AI55" i="2"/>
  <c r="X55" i="2"/>
  <c r="W55" i="2"/>
  <c r="AH55" i="2"/>
  <c r="AG55" i="2"/>
  <c r="U55" i="2"/>
  <c r="V55" i="2"/>
  <c r="AJ55" i="2"/>
  <c r="T55" i="2"/>
  <c r="AF55" i="2"/>
  <c r="S55" i="2"/>
  <c r="R55" i="2"/>
  <c r="Q55" i="2"/>
  <c r="P55" i="2"/>
  <c r="O55" i="2"/>
  <c r="N55" i="2"/>
  <c r="L55" i="2"/>
  <c r="K55" i="2"/>
  <c r="AM54" i="2"/>
  <c r="AL54" i="2"/>
  <c r="AK54" i="2"/>
  <c r="AE54" i="2"/>
  <c r="AD54" i="2"/>
  <c r="AC54" i="2"/>
  <c r="AB54" i="2"/>
  <c r="AA54" i="2"/>
  <c r="Z54" i="2"/>
  <c r="Y54" i="2"/>
  <c r="AI54" i="2"/>
  <c r="X54" i="2"/>
  <c r="W54" i="2"/>
  <c r="AH54" i="2"/>
  <c r="AG54" i="2"/>
  <c r="U54" i="2"/>
  <c r="V54" i="2"/>
  <c r="AJ54" i="2"/>
  <c r="T54" i="2"/>
  <c r="AF54" i="2"/>
  <c r="S54" i="2"/>
  <c r="R54" i="2"/>
  <c r="Q54" i="2"/>
  <c r="P54" i="2"/>
  <c r="O54" i="2"/>
  <c r="N54" i="2"/>
  <c r="L54" i="2"/>
  <c r="K54" i="2"/>
  <c r="AM53" i="2"/>
  <c r="AL53" i="2"/>
  <c r="AK53" i="2"/>
  <c r="AE53" i="2"/>
  <c r="AD53" i="2"/>
  <c r="AC53" i="2"/>
  <c r="AB53" i="2"/>
  <c r="AA53" i="2"/>
  <c r="Z53" i="2"/>
  <c r="Y53" i="2"/>
  <c r="AI53" i="2"/>
  <c r="X53" i="2"/>
  <c r="W53" i="2"/>
  <c r="AH53" i="2"/>
  <c r="AG53" i="2"/>
  <c r="U53" i="2"/>
  <c r="V53" i="2"/>
  <c r="AJ53" i="2"/>
  <c r="T53" i="2"/>
  <c r="AF53" i="2"/>
  <c r="S53" i="2"/>
  <c r="R53" i="2"/>
  <c r="Q53" i="2"/>
  <c r="P53" i="2"/>
  <c r="O53" i="2"/>
  <c r="N53" i="2"/>
  <c r="L53" i="2"/>
  <c r="K53" i="2"/>
  <c r="AM52" i="2"/>
  <c r="AL52" i="2"/>
  <c r="AK52" i="2"/>
  <c r="AE52" i="2"/>
  <c r="AD52" i="2"/>
  <c r="AC52" i="2"/>
  <c r="AB52" i="2"/>
  <c r="AA52" i="2"/>
  <c r="Z52" i="2"/>
  <c r="Y52" i="2"/>
  <c r="AI52" i="2"/>
  <c r="X52" i="2"/>
  <c r="W52" i="2"/>
  <c r="AH52" i="2"/>
  <c r="AG52" i="2"/>
  <c r="U52" i="2"/>
  <c r="V52" i="2"/>
  <c r="AJ52" i="2"/>
  <c r="T52" i="2"/>
  <c r="AF52" i="2"/>
  <c r="S52" i="2"/>
  <c r="R52" i="2"/>
  <c r="Q52" i="2"/>
  <c r="P52" i="2"/>
  <c r="O52" i="2"/>
  <c r="N52" i="2"/>
  <c r="L52" i="2"/>
  <c r="K52" i="2"/>
  <c r="AM51" i="2"/>
  <c r="AL51" i="2"/>
  <c r="AK51" i="2"/>
  <c r="AE51" i="2"/>
  <c r="AD51" i="2"/>
  <c r="AC51" i="2"/>
  <c r="AB51" i="2"/>
  <c r="AA51" i="2"/>
  <c r="Z51" i="2"/>
  <c r="Y51" i="2"/>
  <c r="AI51" i="2"/>
  <c r="X51" i="2"/>
  <c r="W51" i="2"/>
  <c r="AH51" i="2"/>
  <c r="AG51" i="2"/>
  <c r="U51" i="2"/>
  <c r="V51" i="2"/>
  <c r="AJ51" i="2"/>
  <c r="T51" i="2"/>
  <c r="AF51" i="2"/>
  <c r="S51" i="2"/>
  <c r="R51" i="2"/>
  <c r="Q51" i="2"/>
  <c r="P51" i="2"/>
  <c r="O51" i="2"/>
  <c r="N51" i="2"/>
  <c r="L51" i="2"/>
  <c r="K51" i="2"/>
  <c r="L80" i="2"/>
  <c r="AM16" i="2"/>
  <c r="AL16" i="2"/>
  <c r="AK16" i="2"/>
  <c r="AE16" i="2"/>
  <c r="AD16" i="2"/>
  <c r="AC16" i="2"/>
  <c r="AB16" i="2"/>
  <c r="AA16" i="2"/>
  <c r="Z16" i="2"/>
  <c r="Y16" i="2"/>
  <c r="AI16" i="2"/>
  <c r="X16" i="2"/>
  <c r="W16" i="2"/>
  <c r="AH16" i="2"/>
  <c r="AG16" i="2"/>
  <c r="U16" i="2"/>
  <c r="V16" i="2"/>
  <c r="AJ16" i="2"/>
  <c r="T16" i="2"/>
  <c r="AF16" i="2"/>
  <c r="S16" i="2"/>
  <c r="R16" i="2"/>
  <c r="Q16" i="2"/>
  <c r="P16" i="2"/>
  <c r="AM15" i="2"/>
  <c r="AL15" i="2"/>
  <c r="AK15" i="2"/>
  <c r="AE15" i="2"/>
  <c r="AD15" i="2"/>
  <c r="AC15" i="2"/>
  <c r="AB15" i="2"/>
  <c r="AA15" i="2"/>
  <c r="Z15" i="2"/>
  <c r="Y15" i="2"/>
  <c r="AI15" i="2"/>
  <c r="X15" i="2"/>
  <c r="W15" i="2"/>
  <c r="AH15" i="2"/>
  <c r="AG15" i="2"/>
  <c r="U15" i="2"/>
  <c r="V15" i="2"/>
  <c r="AJ15" i="2"/>
  <c r="T15" i="2"/>
  <c r="AF15" i="2"/>
  <c r="S15" i="2"/>
  <c r="R15" i="2"/>
  <c r="Q15" i="2"/>
  <c r="P15" i="2"/>
  <c r="AM14" i="2"/>
  <c r="AL14" i="2"/>
  <c r="AK14" i="2"/>
  <c r="AE14" i="2"/>
  <c r="AD14" i="2"/>
  <c r="AC14" i="2"/>
  <c r="AB14" i="2"/>
  <c r="AA14" i="2"/>
  <c r="Z14" i="2"/>
  <c r="Y14" i="2"/>
  <c r="AI14" i="2"/>
  <c r="X14" i="2"/>
  <c r="W14" i="2"/>
  <c r="AH14" i="2"/>
  <c r="AG14" i="2"/>
  <c r="U14" i="2"/>
  <c r="V14" i="2"/>
  <c r="AJ14" i="2"/>
  <c r="T14" i="2"/>
  <c r="AF14" i="2"/>
  <c r="S14" i="2"/>
  <c r="R14" i="2"/>
  <c r="Q14" i="2"/>
  <c r="P14" i="2"/>
  <c r="AM13" i="2"/>
  <c r="AL13" i="2"/>
  <c r="AK13" i="2"/>
  <c r="AE13" i="2"/>
  <c r="AD13" i="2"/>
  <c r="AC13" i="2"/>
  <c r="AB13" i="2"/>
  <c r="AA13" i="2"/>
  <c r="Z13" i="2"/>
  <c r="Y13" i="2"/>
  <c r="AI13" i="2"/>
  <c r="X13" i="2"/>
  <c r="W13" i="2"/>
  <c r="AH13" i="2"/>
  <c r="AG13" i="2"/>
  <c r="U13" i="2"/>
  <c r="V13" i="2"/>
  <c r="AJ13" i="2"/>
  <c r="T13" i="2"/>
  <c r="AF13" i="2"/>
  <c r="S13" i="2"/>
  <c r="R13" i="2"/>
  <c r="Q13" i="2"/>
  <c r="P13" i="2"/>
  <c r="AM12" i="2"/>
  <c r="AL12" i="2"/>
  <c r="AK12" i="2"/>
  <c r="AE12" i="2"/>
  <c r="AD12" i="2"/>
  <c r="AC12" i="2"/>
  <c r="AB12" i="2"/>
  <c r="AA12" i="2"/>
  <c r="Z12" i="2"/>
  <c r="Y12" i="2"/>
  <c r="AI12" i="2"/>
  <c r="X12" i="2"/>
  <c r="W12" i="2"/>
  <c r="AH12" i="2"/>
  <c r="AG12" i="2"/>
  <c r="U12" i="2"/>
  <c r="V12" i="2"/>
  <c r="AJ12" i="2"/>
  <c r="T12" i="2"/>
  <c r="AF12" i="2"/>
  <c r="S12" i="2"/>
  <c r="R12" i="2"/>
  <c r="Q12" i="2"/>
  <c r="P12" i="2"/>
  <c r="AM11" i="2"/>
  <c r="AL11" i="2"/>
  <c r="AK11" i="2"/>
  <c r="AE11" i="2"/>
  <c r="AD11" i="2"/>
  <c r="AC11" i="2"/>
  <c r="AB11" i="2"/>
  <c r="AA11" i="2"/>
  <c r="Z11" i="2"/>
  <c r="Y11" i="2"/>
  <c r="AI11" i="2"/>
  <c r="X11" i="2"/>
  <c r="W11" i="2"/>
  <c r="AH11" i="2"/>
  <c r="AG11" i="2"/>
  <c r="U11" i="2"/>
  <c r="V11" i="2"/>
  <c r="AJ11" i="2"/>
  <c r="T11" i="2"/>
  <c r="AF11" i="2"/>
  <c r="S11" i="2"/>
  <c r="R11" i="2"/>
  <c r="Q11" i="2"/>
  <c r="P11" i="2"/>
  <c r="AM10" i="2"/>
  <c r="AL10" i="2"/>
  <c r="AK10" i="2"/>
  <c r="AE10" i="2"/>
  <c r="AD10" i="2"/>
  <c r="AC10" i="2"/>
  <c r="AB10" i="2"/>
  <c r="AA10" i="2"/>
  <c r="Z10" i="2"/>
  <c r="Y10" i="2"/>
  <c r="AI10" i="2"/>
  <c r="X10" i="2"/>
  <c r="W10" i="2"/>
  <c r="AH10" i="2"/>
  <c r="AG10" i="2"/>
  <c r="U10" i="2"/>
  <c r="V10" i="2"/>
  <c r="AJ10" i="2"/>
  <c r="T10" i="2"/>
  <c r="AF10" i="2"/>
  <c r="S10" i="2"/>
  <c r="R10" i="2"/>
  <c r="Q10" i="2"/>
  <c r="P10" i="2"/>
  <c r="AM9" i="2"/>
  <c r="AL9" i="2"/>
  <c r="AK9" i="2"/>
  <c r="AE9" i="2"/>
  <c r="AD9" i="2"/>
  <c r="AC9" i="2"/>
  <c r="AB9" i="2"/>
  <c r="AA9" i="2"/>
  <c r="Z9" i="2"/>
  <c r="Y9" i="2"/>
  <c r="AI9" i="2"/>
  <c r="X9" i="2"/>
  <c r="W9" i="2"/>
  <c r="AH9" i="2"/>
  <c r="AG9" i="2"/>
  <c r="U9" i="2"/>
  <c r="V9" i="2"/>
  <c r="AJ9" i="2"/>
  <c r="T9" i="2"/>
  <c r="AF9" i="2"/>
  <c r="S9" i="2"/>
  <c r="R9" i="2"/>
  <c r="Q9" i="2"/>
  <c r="P9" i="2"/>
  <c r="AM8" i="2"/>
  <c r="AL8" i="2"/>
  <c r="AK8" i="2"/>
  <c r="AE8" i="2"/>
  <c r="AD8" i="2"/>
  <c r="AC8" i="2"/>
  <c r="AB8" i="2"/>
  <c r="AA8" i="2"/>
  <c r="Z8" i="2"/>
  <c r="Y8" i="2"/>
  <c r="AI8" i="2"/>
  <c r="X8" i="2"/>
  <c r="W8" i="2"/>
  <c r="AH8" i="2"/>
  <c r="AG8" i="2"/>
  <c r="U8" i="2"/>
  <c r="V8" i="2"/>
  <c r="AJ8" i="2"/>
  <c r="T8" i="2"/>
  <c r="AF8" i="2"/>
  <c r="S8" i="2"/>
  <c r="R8" i="2"/>
  <c r="Q8" i="2"/>
  <c r="P8" i="2"/>
  <c r="AM7" i="2"/>
  <c r="AL7" i="2"/>
  <c r="AK7" i="2"/>
  <c r="AE7" i="2"/>
  <c r="AD7" i="2"/>
  <c r="AC7" i="2"/>
  <c r="AB7" i="2"/>
  <c r="AA7" i="2"/>
  <c r="Z7" i="2"/>
  <c r="Y7" i="2"/>
  <c r="AI7" i="2"/>
  <c r="X7" i="2"/>
  <c r="W7" i="2"/>
  <c r="AH7" i="2"/>
  <c r="AG7" i="2"/>
  <c r="U7" i="2"/>
  <c r="V7" i="2"/>
  <c r="AJ7" i="2"/>
  <c r="T7" i="2"/>
  <c r="AF7" i="2"/>
  <c r="S7" i="2"/>
  <c r="R7" i="2"/>
  <c r="Q7" i="2"/>
  <c r="P7" i="2"/>
  <c r="AM6" i="2"/>
  <c r="AL6" i="2"/>
  <c r="AK6" i="2"/>
  <c r="AE6" i="2"/>
  <c r="AD6" i="2"/>
  <c r="AC6" i="2"/>
  <c r="AB6" i="2"/>
  <c r="AA6" i="2"/>
  <c r="Z6" i="2"/>
  <c r="Y6" i="2"/>
  <c r="AI6" i="2"/>
  <c r="X6" i="2"/>
  <c r="W6" i="2"/>
  <c r="AH6" i="2"/>
  <c r="AG6" i="2"/>
  <c r="U6" i="2"/>
  <c r="V6" i="2"/>
  <c r="AJ6" i="2"/>
  <c r="T6" i="2"/>
  <c r="AF6" i="2"/>
  <c r="S6" i="2"/>
  <c r="R6" i="2"/>
  <c r="Q6" i="2"/>
  <c r="P6" i="2"/>
  <c r="AM5" i="2"/>
  <c r="AL5" i="2"/>
  <c r="AK5" i="2"/>
  <c r="AE5" i="2"/>
  <c r="AD5" i="2"/>
  <c r="AC5" i="2"/>
  <c r="AB5" i="2"/>
  <c r="AA5" i="2"/>
  <c r="Z5" i="2"/>
  <c r="Y5" i="2"/>
  <c r="AI5" i="2"/>
  <c r="X5" i="2"/>
  <c r="W5" i="2"/>
  <c r="AH5" i="2"/>
  <c r="AG5" i="2"/>
  <c r="U5" i="2"/>
  <c r="V5" i="2"/>
  <c r="AJ5" i="2"/>
  <c r="T5" i="2"/>
  <c r="AF5" i="2"/>
  <c r="S5" i="2"/>
  <c r="R5" i="2"/>
  <c r="Q5" i="2"/>
  <c r="P5" i="2"/>
  <c r="AM4" i="2"/>
  <c r="AL4" i="2"/>
  <c r="AK4" i="2"/>
  <c r="AE4" i="2"/>
  <c r="AD4" i="2"/>
  <c r="AC4" i="2"/>
  <c r="AB4" i="2"/>
  <c r="AA4" i="2"/>
  <c r="Z4" i="2"/>
  <c r="Y4" i="2"/>
  <c r="AI4" i="2"/>
  <c r="X4" i="2"/>
  <c r="W4" i="2"/>
  <c r="AH4" i="2"/>
  <c r="AG4" i="2"/>
  <c r="U4" i="2"/>
  <c r="V4" i="2"/>
  <c r="AJ4" i="2"/>
  <c r="T4" i="2"/>
  <c r="AF4" i="2"/>
  <c r="S4" i="2"/>
  <c r="R4" i="2"/>
  <c r="Q4" i="2"/>
  <c r="P4" i="2"/>
  <c r="AM3" i="2"/>
  <c r="AL3" i="2"/>
  <c r="AK3" i="2"/>
  <c r="AE3" i="2"/>
  <c r="AD3" i="2"/>
  <c r="AC3" i="2"/>
  <c r="AB3" i="2"/>
  <c r="AA3" i="2"/>
  <c r="Z3" i="2"/>
  <c r="Y3" i="2"/>
  <c r="AI3" i="2"/>
  <c r="AI20" i="2" s="1"/>
  <c r="X3" i="2"/>
  <c r="W3" i="2"/>
  <c r="AH3" i="2"/>
  <c r="AG3" i="2"/>
  <c r="U3" i="2"/>
  <c r="V3" i="2"/>
  <c r="AJ3" i="2"/>
  <c r="T3" i="2"/>
  <c r="AF3" i="2"/>
  <c r="S3" i="2"/>
  <c r="R3" i="2"/>
  <c r="Q3" i="2"/>
  <c r="P3" i="2"/>
  <c r="AM49" i="2"/>
  <c r="AL49" i="2"/>
  <c r="AK49" i="2"/>
  <c r="AE49" i="2"/>
  <c r="AD49" i="2"/>
  <c r="AC49" i="2"/>
  <c r="AB49" i="2"/>
  <c r="AA49" i="2"/>
  <c r="Z49" i="2"/>
  <c r="Y49" i="2"/>
  <c r="AI49" i="2"/>
  <c r="X49" i="2"/>
  <c r="W49" i="2"/>
  <c r="AH49" i="2"/>
  <c r="AG49" i="2"/>
  <c r="U49" i="2"/>
  <c r="V49" i="2"/>
  <c r="AJ49" i="2"/>
  <c r="T49" i="2"/>
  <c r="AF49" i="2"/>
  <c r="S49" i="2"/>
  <c r="R49" i="2"/>
  <c r="Q49" i="2"/>
  <c r="P49" i="2"/>
  <c r="AM48" i="2"/>
  <c r="AL48" i="2"/>
  <c r="AK48" i="2"/>
  <c r="AE48" i="2"/>
  <c r="AD48" i="2"/>
  <c r="AC48" i="2"/>
  <c r="AB48" i="2"/>
  <c r="AA48" i="2"/>
  <c r="Z48" i="2"/>
  <c r="Y48" i="2"/>
  <c r="AI48" i="2"/>
  <c r="X48" i="2"/>
  <c r="W48" i="2"/>
  <c r="AH48" i="2"/>
  <c r="AG48" i="2"/>
  <c r="U48" i="2"/>
  <c r="V48" i="2"/>
  <c r="AJ48" i="2"/>
  <c r="T48" i="2"/>
  <c r="AF48" i="2"/>
  <c r="S48" i="2"/>
  <c r="R48" i="2"/>
  <c r="Q48" i="2"/>
  <c r="P48" i="2"/>
  <c r="AM47" i="2"/>
  <c r="AL47" i="2"/>
  <c r="AK47" i="2"/>
  <c r="AE47" i="2"/>
  <c r="AD47" i="2"/>
  <c r="AC47" i="2"/>
  <c r="AB47" i="2"/>
  <c r="AA47" i="2"/>
  <c r="Z47" i="2"/>
  <c r="Y47" i="2"/>
  <c r="AI47" i="2"/>
  <c r="X47" i="2"/>
  <c r="W47" i="2"/>
  <c r="AH47" i="2"/>
  <c r="AG47" i="2"/>
  <c r="U47" i="2"/>
  <c r="V47" i="2"/>
  <c r="AJ47" i="2"/>
  <c r="T47" i="2"/>
  <c r="AF47" i="2"/>
  <c r="S47" i="2"/>
  <c r="R47" i="2"/>
  <c r="Q47" i="2"/>
  <c r="P47" i="2"/>
  <c r="AM46" i="2"/>
  <c r="AL46" i="2"/>
  <c r="AK46" i="2"/>
  <c r="AE46" i="2"/>
  <c r="AD46" i="2"/>
  <c r="AC46" i="2"/>
  <c r="AB46" i="2"/>
  <c r="AA46" i="2"/>
  <c r="Z46" i="2"/>
  <c r="Y46" i="2"/>
  <c r="AI46" i="2"/>
  <c r="X46" i="2"/>
  <c r="W46" i="2"/>
  <c r="AH46" i="2"/>
  <c r="AG46" i="2"/>
  <c r="U46" i="2"/>
  <c r="V46" i="2"/>
  <c r="AJ46" i="2"/>
  <c r="T46" i="2"/>
  <c r="AF46" i="2"/>
  <c r="S46" i="2"/>
  <c r="R46" i="2"/>
  <c r="Q46" i="2"/>
  <c r="P46" i="2"/>
  <c r="AM45" i="2"/>
  <c r="AL45" i="2"/>
  <c r="AK45" i="2"/>
  <c r="AE45" i="2"/>
  <c r="AD45" i="2"/>
  <c r="AC45" i="2"/>
  <c r="AB45" i="2"/>
  <c r="AA45" i="2"/>
  <c r="Z45" i="2"/>
  <c r="Y45" i="2"/>
  <c r="AI45" i="2"/>
  <c r="X45" i="2"/>
  <c r="W45" i="2"/>
  <c r="AH45" i="2"/>
  <c r="AG45" i="2"/>
  <c r="U45" i="2"/>
  <c r="V45" i="2"/>
  <c r="AJ45" i="2"/>
  <c r="T45" i="2"/>
  <c r="AF45" i="2"/>
  <c r="S45" i="2"/>
  <c r="R45" i="2"/>
  <c r="Q45" i="2"/>
  <c r="P45" i="2"/>
  <c r="AM44" i="2"/>
  <c r="AL44" i="2"/>
  <c r="AK44" i="2"/>
  <c r="AE44" i="2"/>
  <c r="AD44" i="2"/>
  <c r="AC44" i="2"/>
  <c r="AB44" i="2"/>
  <c r="AA44" i="2"/>
  <c r="Z44" i="2"/>
  <c r="Y44" i="2"/>
  <c r="AI44" i="2"/>
  <c r="X44" i="2"/>
  <c r="W44" i="2"/>
  <c r="AH44" i="2"/>
  <c r="AG44" i="2"/>
  <c r="U44" i="2"/>
  <c r="V44" i="2"/>
  <c r="AJ44" i="2"/>
  <c r="T44" i="2"/>
  <c r="AF44" i="2"/>
  <c r="S44" i="2"/>
  <c r="R44" i="2"/>
  <c r="Q44" i="2"/>
  <c r="P44" i="2"/>
  <c r="AM38" i="2"/>
  <c r="AL38" i="2"/>
  <c r="AK38" i="2"/>
  <c r="AE38" i="2"/>
  <c r="AD38" i="2"/>
  <c r="AC38" i="2"/>
  <c r="AB38" i="2"/>
  <c r="AA38" i="2"/>
  <c r="Z38" i="2"/>
  <c r="Y38" i="2"/>
  <c r="AI38" i="2"/>
  <c r="X38" i="2"/>
  <c r="W38" i="2"/>
  <c r="AH38" i="2"/>
  <c r="AG38" i="2"/>
  <c r="U38" i="2"/>
  <c r="V38" i="2"/>
  <c r="AJ38" i="2"/>
  <c r="T38" i="2"/>
  <c r="AF38" i="2"/>
  <c r="S38" i="2"/>
  <c r="R38" i="2"/>
  <c r="Q38" i="2"/>
  <c r="P38" i="2"/>
  <c r="AM37" i="2"/>
  <c r="AL37" i="2"/>
  <c r="AK37" i="2"/>
  <c r="AE37" i="2"/>
  <c r="AD37" i="2"/>
  <c r="AC37" i="2"/>
  <c r="AB37" i="2"/>
  <c r="AA37" i="2"/>
  <c r="Z37" i="2"/>
  <c r="Y37" i="2"/>
  <c r="AI37" i="2"/>
  <c r="X37" i="2"/>
  <c r="W37" i="2"/>
  <c r="AH37" i="2"/>
  <c r="AG37" i="2"/>
  <c r="U37" i="2"/>
  <c r="V37" i="2"/>
  <c r="AJ37" i="2"/>
  <c r="T37" i="2"/>
  <c r="AF37" i="2"/>
  <c r="S37" i="2"/>
  <c r="R37" i="2"/>
  <c r="Q37" i="2"/>
  <c r="P37" i="2"/>
  <c r="AM36" i="2"/>
  <c r="AL36" i="2"/>
  <c r="AK36" i="2"/>
  <c r="AE36" i="2"/>
  <c r="AD36" i="2"/>
  <c r="AC36" i="2"/>
  <c r="AB36" i="2"/>
  <c r="AA36" i="2"/>
  <c r="Z36" i="2"/>
  <c r="Y36" i="2"/>
  <c r="AI36" i="2"/>
  <c r="X36" i="2"/>
  <c r="W36" i="2"/>
  <c r="AH36" i="2"/>
  <c r="AG36" i="2"/>
  <c r="U36" i="2"/>
  <c r="V36" i="2"/>
  <c r="AJ36" i="2"/>
  <c r="T36" i="2"/>
  <c r="AF36" i="2"/>
  <c r="S36" i="2"/>
  <c r="R36" i="2"/>
  <c r="Q36" i="2"/>
  <c r="P36" i="2"/>
  <c r="AM35" i="2"/>
  <c r="AL35" i="2"/>
  <c r="AK35" i="2"/>
  <c r="AE35" i="2"/>
  <c r="AD35" i="2"/>
  <c r="AC35" i="2"/>
  <c r="AB35" i="2"/>
  <c r="AA35" i="2"/>
  <c r="Z35" i="2"/>
  <c r="Y35" i="2"/>
  <c r="AI35" i="2"/>
  <c r="X35" i="2"/>
  <c r="W35" i="2"/>
  <c r="AH35" i="2"/>
  <c r="AG35" i="2"/>
  <c r="U35" i="2"/>
  <c r="V35" i="2"/>
  <c r="AJ35" i="2"/>
  <c r="T35" i="2"/>
  <c r="AF35" i="2"/>
  <c r="S35" i="2"/>
  <c r="R35" i="2"/>
  <c r="Q35" i="2"/>
  <c r="P35" i="2"/>
  <c r="AM42" i="2"/>
  <c r="AL42" i="2"/>
  <c r="AK42" i="2"/>
  <c r="AE42" i="2"/>
  <c r="AD42" i="2"/>
  <c r="AC42" i="2"/>
  <c r="AB42" i="2"/>
  <c r="AA42" i="2"/>
  <c r="Z42" i="2"/>
  <c r="Y42" i="2"/>
  <c r="AI42" i="2"/>
  <c r="X42" i="2"/>
  <c r="W42" i="2"/>
  <c r="AH42" i="2"/>
  <c r="AG42" i="2"/>
  <c r="U42" i="2"/>
  <c r="V42" i="2"/>
  <c r="AJ42" i="2"/>
  <c r="T42" i="2"/>
  <c r="AF42" i="2"/>
  <c r="S42" i="2"/>
  <c r="R42" i="2"/>
  <c r="Q42" i="2"/>
  <c r="P42" i="2"/>
  <c r="AM41" i="2"/>
  <c r="AL41" i="2"/>
  <c r="AK41" i="2"/>
  <c r="AE41" i="2"/>
  <c r="AD41" i="2"/>
  <c r="AC41" i="2"/>
  <c r="AB41" i="2"/>
  <c r="AA41" i="2"/>
  <c r="Z41" i="2"/>
  <c r="Y41" i="2"/>
  <c r="AI41" i="2"/>
  <c r="X41" i="2"/>
  <c r="W41" i="2"/>
  <c r="AH41" i="2"/>
  <c r="AG41" i="2"/>
  <c r="U41" i="2"/>
  <c r="V41" i="2"/>
  <c r="AJ41" i="2"/>
  <c r="T41" i="2"/>
  <c r="AF41" i="2"/>
  <c r="S41" i="2"/>
  <c r="R41" i="2"/>
  <c r="Q41" i="2"/>
  <c r="P41" i="2"/>
  <c r="AM40" i="2"/>
  <c r="AL40" i="2"/>
  <c r="AK40" i="2"/>
  <c r="AE40" i="2"/>
  <c r="AD40" i="2"/>
  <c r="AC40" i="2"/>
  <c r="AB40" i="2"/>
  <c r="AA40" i="2"/>
  <c r="Z40" i="2"/>
  <c r="Y40" i="2"/>
  <c r="AI40" i="2"/>
  <c r="X40" i="2"/>
  <c r="W40" i="2"/>
  <c r="AH40" i="2"/>
  <c r="AG40" i="2"/>
  <c r="U40" i="2"/>
  <c r="V40" i="2"/>
  <c r="AJ40" i="2"/>
  <c r="T40" i="2"/>
  <c r="AF40" i="2"/>
  <c r="S40" i="2"/>
  <c r="R40" i="2"/>
  <c r="Q40" i="2"/>
  <c r="P40" i="2"/>
  <c r="AM39" i="2"/>
  <c r="AL39" i="2"/>
  <c r="AK39" i="2"/>
  <c r="AE39" i="2"/>
  <c r="AD39" i="2"/>
  <c r="AC39" i="2"/>
  <c r="AB39" i="2"/>
  <c r="AA39" i="2"/>
  <c r="Z39" i="2"/>
  <c r="Y39" i="2"/>
  <c r="AI39" i="2"/>
  <c r="X39" i="2"/>
  <c r="W39" i="2"/>
  <c r="AH39" i="2"/>
  <c r="AG39" i="2"/>
  <c r="U39" i="2"/>
  <c r="V39" i="2"/>
  <c r="AJ39" i="2"/>
  <c r="T39" i="2"/>
  <c r="AF39" i="2"/>
  <c r="S39" i="2"/>
  <c r="R39" i="2"/>
  <c r="Q39" i="2"/>
  <c r="P39" i="2"/>
  <c r="AM34" i="2"/>
  <c r="AL34" i="2"/>
  <c r="AK34" i="2"/>
  <c r="AE34" i="2"/>
  <c r="AD34" i="2"/>
  <c r="AC34" i="2"/>
  <c r="AB34" i="2"/>
  <c r="AA34" i="2"/>
  <c r="Z34" i="2"/>
  <c r="Y34" i="2"/>
  <c r="AI34" i="2"/>
  <c r="X34" i="2"/>
  <c r="W34" i="2"/>
  <c r="AH34" i="2"/>
  <c r="AG34" i="2"/>
  <c r="U34" i="2"/>
  <c r="V34" i="2"/>
  <c r="AJ34" i="2"/>
  <c r="T34" i="2"/>
  <c r="AF34" i="2"/>
  <c r="S34" i="2"/>
  <c r="R34" i="2"/>
  <c r="Q34" i="2"/>
  <c r="P34" i="2"/>
  <c r="AM33" i="2"/>
  <c r="AL33" i="2"/>
  <c r="AK33" i="2"/>
  <c r="AE33" i="2"/>
  <c r="AD33" i="2"/>
  <c r="AC33" i="2"/>
  <c r="AB33" i="2"/>
  <c r="AA33" i="2"/>
  <c r="Z33" i="2"/>
  <c r="Y33" i="2"/>
  <c r="AI33" i="2"/>
  <c r="X33" i="2"/>
  <c r="W33" i="2"/>
  <c r="AH33" i="2"/>
  <c r="AG33" i="2"/>
  <c r="U33" i="2"/>
  <c r="V33" i="2"/>
  <c r="AJ33" i="2"/>
  <c r="T33" i="2"/>
  <c r="AF33" i="2"/>
  <c r="S33" i="2"/>
  <c r="R33" i="2"/>
  <c r="Q33" i="2"/>
  <c r="P33" i="2"/>
  <c r="AM32" i="2"/>
  <c r="AL32" i="2"/>
  <c r="AK32" i="2"/>
  <c r="AE32" i="2"/>
  <c r="AD32" i="2"/>
  <c r="AC32" i="2"/>
  <c r="AB32" i="2"/>
  <c r="AA32" i="2"/>
  <c r="Z32" i="2"/>
  <c r="Y32" i="2"/>
  <c r="AI32" i="2"/>
  <c r="X32" i="2"/>
  <c r="W32" i="2"/>
  <c r="AH32" i="2"/>
  <c r="AG32" i="2"/>
  <c r="U32" i="2"/>
  <c r="V32" i="2"/>
  <c r="AJ32" i="2"/>
  <c r="T32" i="2"/>
  <c r="AF32" i="2"/>
  <c r="S32" i="2"/>
  <c r="R32" i="2"/>
  <c r="Q32" i="2"/>
  <c r="P32" i="2"/>
  <c r="AM31" i="2"/>
  <c r="AL31" i="2"/>
  <c r="AK31" i="2"/>
  <c r="AE31" i="2"/>
  <c r="AD31" i="2"/>
  <c r="AC31" i="2"/>
  <c r="AB31" i="2"/>
  <c r="AA31" i="2"/>
  <c r="Z31" i="2"/>
  <c r="Y31" i="2"/>
  <c r="AI31" i="2"/>
  <c r="X31" i="2"/>
  <c r="W31" i="2"/>
  <c r="AH31" i="2"/>
  <c r="AG31" i="2"/>
  <c r="U31" i="2"/>
  <c r="V31" i="2"/>
  <c r="AJ31" i="2"/>
  <c r="T31" i="2"/>
  <c r="AF31" i="2"/>
  <c r="S31" i="2"/>
  <c r="R31" i="2"/>
  <c r="Q31" i="2"/>
  <c r="P31" i="2"/>
  <c r="AM30" i="2"/>
  <c r="AL30" i="2"/>
  <c r="AK30" i="2"/>
  <c r="AE30" i="2"/>
  <c r="AD30" i="2"/>
  <c r="AC30" i="2"/>
  <c r="AB30" i="2"/>
  <c r="AA30" i="2"/>
  <c r="Z30" i="2"/>
  <c r="Y30" i="2"/>
  <c r="AI30" i="2"/>
  <c r="X30" i="2"/>
  <c r="W30" i="2"/>
  <c r="AH30" i="2"/>
  <c r="AG30" i="2"/>
  <c r="U30" i="2"/>
  <c r="V30" i="2"/>
  <c r="AJ30" i="2"/>
  <c r="T30" i="2"/>
  <c r="AF30" i="2"/>
  <c r="S30" i="2"/>
  <c r="R30" i="2"/>
  <c r="Q30" i="2"/>
  <c r="P30" i="2"/>
  <c r="AM29" i="2"/>
  <c r="AL29" i="2"/>
  <c r="AK29" i="2"/>
  <c r="AE29" i="2"/>
  <c r="AD29" i="2"/>
  <c r="AC29" i="2"/>
  <c r="AB29" i="2"/>
  <c r="AA29" i="2"/>
  <c r="Z29" i="2"/>
  <c r="Y29" i="2"/>
  <c r="AI29" i="2"/>
  <c r="X29" i="2"/>
  <c r="W29" i="2"/>
  <c r="AH29" i="2"/>
  <c r="AG29" i="2"/>
  <c r="U29" i="2"/>
  <c r="V29" i="2"/>
  <c r="AJ29" i="2"/>
  <c r="T29" i="2"/>
  <c r="AF29" i="2"/>
  <c r="S29" i="2"/>
  <c r="R29" i="2"/>
  <c r="Q29" i="2"/>
  <c r="P29" i="2"/>
  <c r="AM28" i="2"/>
  <c r="AL28" i="2"/>
  <c r="AK28" i="2"/>
  <c r="AE28" i="2"/>
  <c r="AD28" i="2"/>
  <c r="AC28" i="2"/>
  <c r="AB28" i="2"/>
  <c r="AA28" i="2"/>
  <c r="Z28" i="2"/>
  <c r="Y28" i="2"/>
  <c r="AI28" i="2"/>
  <c r="X28" i="2"/>
  <c r="W28" i="2"/>
  <c r="AH28" i="2"/>
  <c r="AG28" i="2"/>
  <c r="U28" i="2"/>
  <c r="V28" i="2"/>
  <c r="AJ28" i="2"/>
  <c r="T28" i="2"/>
  <c r="AF28" i="2"/>
  <c r="S28" i="2"/>
  <c r="R28" i="2"/>
  <c r="Q28" i="2"/>
  <c r="P28" i="2"/>
  <c r="AM27" i="2"/>
  <c r="AL27" i="2"/>
  <c r="AK27" i="2"/>
  <c r="AE27" i="2"/>
  <c r="AD27" i="2"/>
  <c r="AC27" i="2"/>
  <c r="AB27" i="2"/>
  <c r="AA27" i="2"/>
  <c r="Z27" i="2"/>
  <c r="Y27" i="2"/>
  <c r="AI27" i="2"/>
  <c r="X27" i="2"/>
  <c r="W27" i="2"/>
  <c r="AH27" i="2"/>
  <c r="AG27" i="2"/>
  <c r="U27" i="2"/>
  <c r="V27" i="2"/>
  <c r="AJ27" i="2"/>
  <c r="T27" i="2"/>
  <c r="AF27" i="2"/>
  <c r="S27" i="2"/>
  <c r="R27" i="2"/>
  <c r="Q27" i="2"/>
  <c r="P27" i="2"/>
  <c r="AM26" i="2"/>
  <c r="AL26" i="2"/>
  <c r="AK26" i="2"/>
  <c r="AE26" i="2"/>
  <c r="AD26" i="2"/>
  <c r="AC26" i="2"/>
  <c r="AB26" i="2"/>
  <c r="AA26" i="2"/>
  <c r="Z26" i="2"/>
  <c r="Y26" i="2"/>
  <c r="AI26" i="2"/>
  <c r="X26" i="2"/>
  <c r="W26" i="2"/>
  <c r="AH26" i="2"/>
  <c r="AG26" i="2"/>
  <c r="U26" i="2"/>
  <c r="V26" i="2"/>
  <c r="AJ26" i="2"/>
  <c r="T26" i="2"/>
  <c r="AF26" i="2"/>
  <c r="S26" i="2"/>
  <c r="R26" i="2"/>
  <c r="Q26" i="2"/>
  <c r="P26" i="2"/>
  <c r="AM25" i="2"/>
  <c r="AL25" i="2"/>
  <c r="AK25" i="2"/>
  <c r="AE25" i="2"/>
  <c r="AD25" i="2"/>
  <c r="AC25" i="2"/>
  <c r="AB25" i="2"/>
  <c r="AA25" i="2"/>
  <c r="Z25" i="2"/>
  <c r="Y25" i="2"/>
  <c r="AI25" i="2"/>
  <c r="X25" i="2"/>
  <c r="W25" i="2"/>
  <c r="AH25" i="2"/>
  <c r="AG25" i="2"/>
  <c r="U25" i="2"/>
  <c r="V25" i="2"/>
  <c r="AJ25" i="2"/>
  <c r="T25" i="2"/>
  <c r="AF25" i="2"/>
  <c r="S25" i="2"/>
  <c r="R25" i="2"/>
  <c r="Q25" i="2"/>
  <c r="P25" i="2"/>
  <c r="AM24" i="2"/>
  <c r="AL24" i="2"/>
  <c r="AK24" i="2"/>
  <c r="AE24" i="2"/>
  <c r="AD24" i="2"/>
  <c r="AC24" i="2"/>
  <c r="AB24" i="2"/>
  <c r="AA24" i="2"/>
  <c r="Z24" i="2"/>
  <c r="Y24" i="2"/>
  <c r="AI24" i="2"/>
  <c r="X24" i="2"/>
  <c r="W24" i="2"/>
  <c r="AH24" i="2"/>
  <c r="AG24" i="2"/>
  <c r="U24" i="2"/>
  <c r="V24" i="2"/>
  <c r="AJ24" i="2"/>
  <c r="T24" i="2"/>
  <c r="AF24" i="2"/>
  <c r="S24" i="2"/>
  <c r="R24" i="2"/>
  <c r="Q24" i="2"/>
  <c r="P24" i="2"/>
  <c r="AM23" i="2"/>
  <c r="AL23" i="2"/>
  <c r="AK23" i="2"/>
  <c r="AE23" i="2"/>
  <c r="AD23" i="2"/>
  <c r="AC23" i="2"/>
  <c r="AB23" i="2"/>
  <c r="AA23" i="2"/>
  <c r="Z23" i="2"/>
  <c r="Y23" i="2"/>
  <c r="AI23" i="2"/>
  <c r="X23" i="2"/>
  <c r="W23" i="2"/>
  <c r="AH23" i="2"/>
  <c r="AG23" i="2"/>
  <c r="U23" i="2"/>
  <c r="V23" i="2"/>
  <c r="AJ23" i="2"/>
  <c r="T23" i="2"/>
  <c r="AF23" i="2"/>
  <c r="S23" i="2"/>
  <c r="R23" i="2"/>
  <c r="Q23" i="2"/>
  <c r="P23" i="2"/>
  <c r="AM22" i="2"/>
  <c r="AL22" i="2"/>
  <c r="AK22" i="2"/>
  <c r="AE22" i="2"/>
  <c r="AD22" i="2"/>
  <c r="AC22" i="2"/>
  <c r="AB22" i="2"/>
  <c r="AA22" i="2"/>
  <c r="Z22" i="2"/>
  <c r="Y22" i="2"/>
  <c r="AI22" i="2"/>
  <c r="X22" i="2"/>
  <c r="W22" i="2"/>
  <c r="AH22" i="2"/>
  <c r="AG22" i="2"/>
  <c r="U22" i="2"/>
  <c r="V22" i="2"/>
  <c r="AJ22" i="2"/>
  <c r="T22" i="2"/>
  <c r="AF22" i="2"/>
  <c r="S22" i="2"/>
  <c r="R22" i="2"/>
  <c r="Q22" i="2"/>
  <c r="P22" i="2"/>
  <c r="AM21" i="2"/>
  <c r="AL21" i="2"/>
  <c r="AK21" i="2"/>
  <c r="AE21" i="2"/>
  <c r="AD21" i="2"/>
  <c r="AC21" i="2"/>
  <c r="AB21" i="2"/>
  <c r="AA21" i="2"/>
  <c r="Z21" i="2"/>
  <c r="Y21" i="2"/>
  <c r="AI21" i="2"/>
  <c r="X21" i="2"/>
  <c r="W21" i="2"/>
  <c r="AH21" i="2"/>
  <c r="AG21" i="2"/>
  <c r="U21" i="2"/>
  <c r="V21" i="2"/>
  <c r="AJ21" i="2"/>
  <c r="T21" i="2"/>
  <c r="AF21" i="2"/>
  <c r="S21" i="2"/>
  <c r="R21" i="2"/>
  <c r="Q21" i="2"/>
  <c r="P21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L3" i="2"/>
  <c r="O3" i="2"/>
  <c r="O21" i="2"/>
  <c r="O22" i="2"/>
  <c r="O23" i="2"/>
  <c r="O24" i="2"/>
  <c r="O25" i="2"/>
  <c r="O26" i="2"/>
  <c r="O27" i="2"/>
  <c r="O28" i="2"/>
  <c r="O49" i="2"/>
  <c r="O48" i="2"/>
  <c r="O47" i="2"/>
  <c r="O46" i="2"/>
  <c r="O45" i="2"/>
  <c r="O44" i="2"/>
  <c r="O38" i="2"/>
  <c r="O37" i="2"/>
  <c r="O36" i="2"/>
  <c r="O35" i="2"/>
  <c r="O42" i="2"/>
  <c r="O41" i="2"/>
  <c r="O40" i="2"/>
  <c r="O39" i="2"/>
  <c r="O34" i="2"/>
  <c r="O33" i="2"/>
  <c r="O32" i="2"/>
  <c r="O31" i="2"/>
  <c r="O30" i="2"/>
  <c r="O29" i="2"/>
  <c r="M51" i="2" l="1"/>
  <c r="M52" i="2"/>
  <c r="M53" i="2"/>
  <c r="M54" i="2"/>
  <c r="M55" i="2"/>
  <c r="M57" i="2"/>
  <c r="M58" i="2"/>
  <c r="M60" i="2"/>
  <c r="M63" i="2"/>
  <c r="M64" i="2"/>
  <c r="M68" i="2"/>
  <c r="M69" i="2"/>
  <c r="M70" i="2"/>
  <c r="M71" i="2"/>
  <c r="M74" i="2"/>
  <c r="M75" i="2"/>
  <c r="M77" i="2"/>
  <c r="M79" i="2"/>
  <c r="M78" i="2"/>
  <c r="M76" i="2"/>
  <c r="M62" i="2"/>
  <c r="M67" i="2"/>
  <c r="M72" i="2"/>
  <c r="M59" i="2"/>
  <c r="M66" i="2"/>
  <c r="M56" i="2"/>
  <c r="M73" i="2"/>
  <c r="M65" i="2"/>
  <c r="M61" i="2"/>
  <c r="AC80" i="2"/>
  <c r="AH50" i="2"/>
  <c r="M17" i="2"/>
  <c r="X20" i="2"/>
  <c r="M18" i="2"/>
  <c r="Q20" i="2"/>
  <c r="AG20" i="2"/>
  <c r="AB20" i="2"/>
  <c r="AK20" i="2"/>
  <c r="AH20" i="2"/>
  <c r="AL20" i="2"/>
  <c r="S20" i="2"/>
  <c r="AD20" i="2"/>
  <c r="AM20" i="2"/>
  <c r="U20" i="2"/>
  <c r="V20" i="2"/>
  <c r="P20" i="2"/>
  <c r="M19" i="2"/>
  <c r="Z20" i="2"/>
  <c r="R20" i="2"/>
  <c r="AJ20" i="2"/>
  <c r="Y20" i="2"/>
  <c r="AC20" i="2"/>
  <c r="AE20" i="2"/>
  <c r="AF50" i="2"/>
  <c r="W20" i="2"/>
  <c r="P50" i="2"/>
  <c r="AJ50" i="2"/>
  <c r="C23" i="12"/>
  <c r="E23" i="12"/>
  <c r="R50" i="2"/>
  <c r="AL50" i="2"/>
  <c r="AK50" i="2"/>
  <c r="AM50" i="2"/>
  <c r="Z50" i="2"/>
  <c r="AG50" i="2"/>
  <c r="AA50" i="2"/>
  <c r="AC50" i="2"/>
  <c r="Y50" i="2"/>
  <c r="R80" i="2"/>
  <c r="AI50" i="2"/>
  <c r="AB50" i="2"/>
  <c r="AD50" i="2"/>
  <c r="W50" i="2"/>
  <c r="Q50" i="2"/>
  <c r="X50" i="2"/>
  <c r="V50" i="2"/>
  <c r="S50" i="2"/>
  <c r="U50" i="2"/>
  <c r="AE50" i="2"/>
  <c r="AJ80" i="2"/>
  <c r="AH80" i="2"/>
  <c r="Y80" i="2"/>
  <c r="AL80" i="2"/>
  <c r="N80" i="2"/>
  <c r="O80" i="2"/>
  <c r="S80" i="2"/>
  <c r="V80" i="2"/>
  <c r="W80" i="2"/>
  <c r="Z80" i="2"/>
  <c r="AD80" i="2"/>
  <c r="AM80" i="2"/>
  <c r="P80" i="2"/>
  <c r="AF80" i="2"/>
  <c r="U80" i="2"/>
  <c r="X80" i="2"/>
  <c r="AA80" i="2"/>
  <c r="AE80" i="2"/>
  <c r="T80" i="2"/>
  <c r="AG80" i="2"/>
  <c r="AI80" i="2"/>
  <c r="AB80" i="2"/>
  <c r="AK80" i="2"/>
  <c r="AK2" i="2" s="1"/>
  <c r="Q80" i="2"/>
  <c r="AA20" i="2"/>
  <c r="AF20" i="2"/>
  <c r="T50" i="2"/>
  <c r="T20" i="2"/>
  <c r="O20" i="2"/>
  <c r="J50" i="2"/>
  <c r="N49" i="2"/>
  <c r="M49" i="2" s="1"/>
  <c r="N48" i="2"/>
  <c r="M48" i="2" s="1"/>
  <c r="N47" i="2"/>
  <c r="M47" i="2" s="1"/>
  <c r="N46" i="2"/>
  <c r="M46" i="2" s="1"/>
  <c r="N45" i="2"/>
  <c r="M45" i="2" s="1"/>
  <c r="N44" i="2"/>
  <c r="M44" i="2" s="1"/>
  <c r="N38" i="2"/>
  <c r="M38" i="2" s="1"/>
  <c r="N37" i="2"/>
  <c r="M37" i="2" s="1"/>
  <c r="N36" i="2"/>
  <c r="M36" i="2" s="1"/>
  <c r="N35" i="2"/>
  <c r="M35" i="2" s="1"/>
  <c r="N42" i="2"/>
  <c r="M42" i="2" s="1"/>
  <c r="N41" i="2"/>
  <c r="M41" i="2" s="1"/>
  <c r="N40" i="2"/>
  <c r="M40" i="2" s="1"/>
  <c r="N39" i="2"/>
  <c r="M39" i="2" s="1"/>
  <c r="N34" i="2"/>
  <c r="M34" i="2" s="1"/>
  <c r="N33" i="2"/>
  <c r="M33" i="2" s="1"/>
  <c r="N32" i="2"/>
  <c r="M32" i="2" s="1"/>
  <c r="N31" i="2"/>
  <c r="M31" i="2" s="1"/>
  <c r="N30" i="2"/>
  <c r="M30" i="2" s="1"/>
  <c r="N29" i="2"/>
  <c r="M29" i="2" s="1"/>
  <c r="N28" i="2"/>
  <c r="M28" i="2" s="1"/>
  <c r="N27" i="2"/>
  <c r="M27" i="2" s="1"/>
  <c r="N26" i="2"/>
  <c r="M26" i="2" s="1"/>
  <c r="N25" i="2"/>
  <c r="M25" i="2" s="1"/>
  <c r="N24" i="2"/>
  <c r="M24" i="2" s="1"/>
  <c r="N23" i="2"/>
  <c r="M23" i="2" s="1"/>
  <c r="N22" i="2"/>
  <c r="M22" i="2" s="1"/>
  <c r="N21" i="2"/>
  <c r="M21" i="2" s="1"/>
  <c r="M16" i="2"/>
  <c r="M15" i="2"/>
  <c r="M14" i="2"/>
  <c r="M13" i="2"/>
  <c r="M12" i="2"/>
  <c r="M11" i="2"/>
  <c r="M10" i="2"/>
  <c r="M9" i="2"/>
  <c r="M8" i="2"/>
  <c r="M7" i="2"/>
  <c r="M6" i="2"/>
  <c r="M5" i="2"/>
  <c r="M4" i="2"/>
  <c r="L20" i="2"/>
  <c r="L50" i="2"/>
  <c r="L49" i="2"/>
  <c r="L48" i="2"/>
  <c r="L47" i="2"/>
  <c r="L46" i="2"/>
  <c r="L45" i="2"/>
  <c r="L44" i="2"/>
  <c r="L38" i="2"/>
  <c r="L37" i="2"/>
  <c r="L36" i="2"/>
  <c r="L35" i="2"/>
  <c r="L42" i="2"/>
  <c r="L41" i="2"/>
  <c r="L40" i="2"/>
  <c r="L39" i="2"/>
  <c r="L34" i="2"/>
  <c r="L33" i="2"/>
  <c r="L32" i="2"/>
  <c r="L31" i="2"/>
  <c r="L30" i="2"/>
  <c r="L29" i="2"/>
  <c r="L28" i="2"/>
  <c r="L27" i="2"/>
  <c r="L26" i="2"/>
  <c r="L25" i="2"/>
  <c r="L24" i="2"/>
  <c r="L22" i="2"/>
  <c r="L21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23" i="2"/>
  <c r="K49" i="2"/>
  <c r="K48" i="2"/>
  <c r="K47" i="2"/>
  <c r="K46" i="2"/>
  <c r="K45" i="2"/>
  <c r="K44" i="2"/>
  <c r="K38" i="2"/>
  <c r="K37" i="2"/>
  <c r="K36" i="2"/>
  <c r="K35" i="2"/>
  <c r="K42" i="2"/>
  <c r="K41" i="2"/>
  <c r="K40" i="2"/>
  <c r="K39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AH2" i="2" l="1"/>
  <c r="AL2" i="2"/>
  <c r="AC2" i="2"/>
  <c r="AF2" i="2"/>
  <c r="AJ2" i="2"/>
  <c r="P2" i="2"/>
  <c r="R2" i="2"/>
  <c r="AM2" i="2"/>
  <c r="Z2" i="2"/>
  <c r="AG2" i="2"/>
  <c r="AA2" i="2"/>
  <c r="Y2" i="2"/>
  <c r="AB2" i="2"/>
  <c r="AD2" i="2"/>
  <c r="U2" i="2"/>
  <c r="Q2" i="2"/>
  <c r="AI2" i="2"/>
  <c r="S2" i="2"/>
  <c r="W2" i="2"/>
  <c r="V2" i="2"/>
  <c r="AE2" i="2"/>
  <c r="T2" i="2"/>
  <c r="X2" i="2"/>
  <c r="M3" i="2"/>
  <c r="AN80" i="2"/>
  <c r="M80" i="2"/>
  <c r="O50" i="2"/>
  <c r="O2" i="2" s="1"/>
  <c r="N50" i="2"/>
  <c r="N20" i="2"/>
  <c r="AN20" i="2" s="1"/>
  <c r="N2" i="2" l="1"/>
  <c r="AN2" i="2" s="1"/>
  <c r="AN50" i="2"/>
  <c r="M50" i="2"/>
  <c r="M20" i="2"/>
  <c r="M2" i="2" l="1"/>
</calcChain>
</file>

<file path=xl/sharedStrings.xml><?xml version="1.0" encoding="utf-8"?>
<sst xmlns="http://schemas.openxmlformats.org/spreadsheetml/2006/main" count="1440" uniqueCount="220">
  <si>
    <t>Date</t>
  </si>
  <si>
    <t>Start Time</t>
  </si>
  <si>
    <t>Field</t>
  </si>
  <si>
    <t>Div</t>
  </si>
  <si>
    <t>Plate</t>
  </si>
  <si>
    <t>Bases</t>
  </si>
  <si>
    <t>Bill Marshall</t>
  </si>
  <si>
    <t>Dan DeCarlo</t>
  </si>
  <si>
    <t>Ryan Shoyer</t>
  </si>
  <si>
    <t>Andrew Vega</t>
  </si>
  <si>
    <t>Ben Orduno</t>
  </si>
  <si>
    <t>Sean Pettway</t>
  </si>
  <si>
    <t>Joey Buchanan</t>
  </si>
  <si>
    <t>Gabe Opp</t>
  </si>
  <si>
    <t>Dave Hardy</t>
  </si>
  <si>
    <t>Minor A</t>
  </si>
  <si>
    <t>Minor B</t>
  </si>
  <si>
    <t>Farm</t>
  </si>
  <si>
    <t>BillM</t>
  </si>
  <si>
    <t>SeanP</t>
  </si>
  <si>
    <t>BenO</t>
  </si>
  <si>
    <t>TomN</t>
  </si>
  <si>
    <t>RyanS</t>
  </si>
  <si>
    <t>GabeO</t>
  </si>
  <si>
    <t>DanD</t>
  </si>
  <si>
    <t>WD</t>
  </si>
  <si>
    <t>Week Dates</t>
  </si>
  <si>
    <t>Wk</t>
  </si>
  <si>
    <t>Serg</t>
  </si>
  <si>
    <t>Home</t>
  </si>
  <si>
    <t>Away</t>
  </si>
  <si>
    <t>Assign</t>
  </si>
  <si>
    <t>Sergio Flores</t>
  </si>
  <si>
    <t>All</t>
  </si>
  <si>
    <t>Juniors</t>
  </si>
  <si>
    <t>Rain</t>
  </si>
  <si>
    <t>Dylan Stubblebine</t>
  </si>
  <si>
    <t>Nathaniel Parris</t>
  </si>
  <si>
    <t>Sunglasses</t>
  </si>
  <si>
    <t>Pitchers can wear sunglasses but umpire can remove them if need be (Glare or too bulky)</t>
  </si>
  <si>
    <t>Pitchers can not wear on the bill of their cap</t>
  </si>
  <si>
    <t>Sleeves for Pitchers</t>
  </si>
  <si>
    <t>Can not be White or Light Grey (Long sleeve undershirt must be removed)</t>
  </si>
  <si>
    <t>Can not have 1 sleeve on pitching arm only (Color does not matter)</t>
  </si>
  <si>
    <t>Batter Interference</t>
  </si>
  <si>
    <t xml:space="preserve">With runners on 1B or 2B batter can not obstruct if they stay in the Box </t>
  </si>
  <si>
    <t>Batter Hit by Pitch</t>
  </si>
  <si>
    <t>If batter is hit by a pitch and he does NOT swing at the pitched ball he is awarded 1B (Even if pitch bounces)</t>
  </si>
  <si>
    <t xml:space="preserve">     The batter is not permitted to lean ito the pitched ball (Umpires discretion)</t>
  </si>
  <si>
    <t>If the batter is hit on the hands while holding the bat, that is also awarded 1B</t>
  </si>
  <si>
    <t>If batter is hit by a pitch (On hands or elesewhere) and batter swings at the pitch that is a strike</t>
  </si>
  <si>
    <t xml:space="preserve">     Even if the ball goes into fair ground</t>
  </si>
  <si>
    <t xml:space="preserve">     Almost have to assist the pitcher with first strike … Tighter on 3rd Strike</t>
  </si>
  <si>
    <t>Minor B Recommendations</t>
  </si>
  <si>
    <t>Wide Strike Zone (Inside the Lines), (Chin to Shin)</t>
  </si>
  <si>
    <t>Need to get Outs … If fielders make plays (Tie goes to the fielder)</t>
  </si>
  <si>
    <t>Need to get Outs … Runner does not slide (If its close he's OUT)</t>
  </si>
  <si>
    <t>Strikes are important, Outs are Imperitive, When in Doubt…Call an Out</t>
  </si>
  <si>
    <t>Never Turn your back to the field unless you call Time</t>
  </si>
  <si>
    <t>Hustle Hustle Hustle</t>
  </si>
  <si>
    <t xml:space="preserve">     Its hard to get pissed at an ump that works to get in position</t>
  </si>
  <si>
    <t xml:space="preserve">     He got under the tag, He got him on the shoulder, He missed the bag</t>
  </si>
  <si>
    <t>When Catcher has ball (runner on 3B) encourage to get ball to the mound and call T.O.</t>
  </si>
  <si>
    <r>
      <t xml:space="preserve">Try to make calls from the </t>
    </r>
    <r>
      <rPr>
        <b/>
        <sz val="11"/>
        <color rgb="FF000000"/>
        <rFont val="Calibri"/>
        <family val="2"/>
      </rPr>
      <t>Work Area</t>
    </r>
    <r>
      <rPr>
        <sz val="11"/>
        <color rgb="FF000000"/>
        <rFont val="Calibri"/>
        <family val="2"/>
      </rPr>
      <t xml:space="preserve"> in Front of the Plate (</t>
    </r>
    <r>
      <rPr>
        <sz val="11"/>
        <color rgb="FFFF0000"/>
        <rFont val="Calibri"/>
        <family val="2"/>
      </rPr>
      <t>Get your ass out there</t>
    </r>
    <r>
      <rPr>
        <sz val="11"/>
        <color rgb="FF000000"/>
        <rFont val="Calibri"/>
        <family val="2"/>
      </rPr>
      <t>)</t>
    </r>
  </si>
  <si>
    <t>Fair and Fould balls down line … Be Loud and point</t>
  </si>
  <si>
    <t>Take off your Mask</t>
  </si>
  <si>
    <r>
      <t xml:space="preserve">If you are calling someone safe or out and its close </t>
    </r>
    <r>
      <rPr>
        <b/>
        <sz val="11"/>
        <color rgb="FF000000"/>
        <rFont val="Calibri"/>
        <family val="2"/>
      </rPr>
      <t>be demonstrative</t>
    </r>
  </si>
  <si>
    <t>Batting out of Order</t>
  </si>
  <si>
    <t>If batter comes to the plate and they realize that its wrong batter…Put correct batter in and he assumes Count</t>
  </si>
  <si>
    <t xml:space="preserve">     The batter that is on base is out</t>
  </si>
  <si>
    <t xml:space="preserve">With runner on 3B the batter must vacate the box on a passed ball and make sure that they are </t>
  </si>
  <si>
    <t>NOT in the way of the catcher or pitcher at home plate during a play at the plate</t>
  </si>
  <si>
    <t>If batter gets on base and they realize it’s the wrong batter before next batter completes his AB</t>
  </si>
  <si>
    <t>Adrian</t>
  </si>
  <si>
    <t>Dylan</t>
  </si>
  <si>
    <t>EricO</t>
  </si>
  <si>
    <t>Nico Thiem</t>
  </si>
  <si>
    <t>Joshue</t>
  </si>
  <si>
    <t>Infeld Fly's (YES)</t>
  </si>
  <si>
    <t>Infeld Fly's (NO)</t>
  </si>
  <si>
    <t>1:45 No new inning</t>
  </si>
  <si>
    <t>2:00 No new inning</t>
  </si>
  <si>
    <t>Game starts at the conclussion on the Manager's meeting</t>
  </si>
  <si>
    <t>9 Year Old Pitching … That can record 9 outs and no more</t>
  </si>
  <si>
    <t>Player shows up late just add them into the lineup in the last position</t>
  </si>
  <si>
    <t>No Outs recorded for a late player or someone that leaves early</t>
  </si>
  <si>
    <t>tMinorA</t>
  </si>
  <si>
    <t>tMinorB</t>
  </si>
  <si>
    <t>All Stars</t>
  </si>
  <si>
    <t>TM 05</t>
  </si>
  <si>
    <t>TM 10</t>
  </si>
  <si>
    <t>Feb 20-Feb 22</t>
  </si>
  <si>
    <t>TM 01</t>
  </si>
  <si>
    <t>TM 04</t>
  </si>
  <si>
    <t>TM 02</t>
  </si>
  <si>
    <t>TM 07</t>
  </si>
  <si>
    <t>TM 03</t>
  </si>
  <si>
    <t>TM 06</t>
  </si>
  <si>
    <t>TM 09</t>
  </si>
  <si>
    <t>TM 08</t>
  </si>
  <si>
    <t>TM 12</t>
  </si>
  <si>
    <t>TM 11</t>
  </si>
  <si>
    <t>Albert</t>
  </si>
  <si>
    <t>JoeAnd</t>
  </si>
  <si>
    <t>Andres</t>
  </si>
  <si>
    <t>BillC</t>
  </si>
  <si>
    <t>NateP</t>
  </si>
  <si>
    <t>PrathP</t>
  </si>
  <si>
    <t>WolfG</t>
  </si>
  <si>
    <t>NicoT</t>
  </si>
  <si>
    <t>DiegR</t>
  </si>
  <si>
    <t>RSanch</t>
  </si>
  <si>
    <t>DaveH</t>
  </si>
  <si>
    <t>Feb 23-Mar 1</t>
  </si>
  <si>
    <t>Season Totals…</t>
  </si>
  <si>
    <t>Mar 2-Mar 8</t>
  </si>
  <si>
    <t>Time</t>
  </si>
  <si>
    <t>Totals</t>
  </si>
  <si>
    <t xml:space="preserve">     If runner is stealing and batter comes out of the box it is interference if he hinders a Throw or Attempted Throw</t>
  </si>
  <si>
    <t xml:space="preserve">     It is interference if he hinders the play at the plate - The Batter is Out and the runner goes back to 3B</t>
  </si>
  <si>
    <t>Introduce Yourself</t>
  </si>
  <si>
    <t>Time Limits</t>
  </si>
  <si>
    <t>Basic Discussion</t>
  </si>
  <si>
    <t>New Rules</t>
  </si>
  <si>
    <t>If you need to discuss something I will talk to MGR ONLY and you must first call TO</t>
  </si>
  <si>
    <r>
      <rPr>
        <b/>
        <sz val="10"/>
        <color rgb="FF000000"/>
        <rFont val="Aptos Narrow"/>
        <family val="2"/>
      </rPr>
      <t>On Offense</t>
    </r>
    <r>
      <rPr>
        <sz val="10"/>
        <color rgb="FF000000"/>
        <rFont val="Aptos Narrow"/>
        <family val="2"/>
      </rPr>
      <t xml:space="preserve"> there will be 2 Coaches (1B and 3B) on the field - Keep Gate closed</t>
    </r>
  </si>
  <si>
    <r>
      <rPr>
        <b/>
        <sz val="10"/>
        <color rgb="FF000000"/>
        <rFont val="Aptos Narrow"/>
        <family val="2"/>
      </rPr>
      <t>Survey the field</t>
    </r>
    <r>
      <rPr>
        <sz val="10"/>
        <color rgb="FF000000"/>
        <rFont val="Aptos Narrow"/>
        <family val="2"/>
      </rPr>
      <t xml:space="preserve"> and discuss any</t>
    </r>
    <r>
      <rPr>
        <b/>
        <sz val="10"/>
        <color rgb="FF000000"/>
        <rFont val="Aptos Narrow"/>
        <family val="2"/>
      </rPr>
      <t xml:space="preserve"> groudrules</t>
    </r>
    <r>
      <rPr>
        <sz val="10"/>
        <color rgb="FF000000"/>
        <rFont val="Aptos Narrow"/>
        <family val="2"/>
      </rPr>
      <t xml:space="preserve"> (Ball under fence, L-Screens)</t>
    </r>
  </si>
  <si>
    <r>
      <t xml:space="preserve">Are all </t>
    </r>
    <r>
      <rPr>
        <b/>
        <sz val="10"/>
        <color rgb="FF000000"/>
        <rFont val="Aptos Narrow"/>
        <family val="2"/>
      </rPr>
      <t>players legally equipped</t>
    </r>
    <r>
      <rPr>
        <sz val="10"/>
        <color rgb="FF000000"/>
        <rFont val="Aptos Narrow"/>
        <family val="2"/>
      </rPr>
      <t xml:space="preserve"> for safety purposes and is all </t>
    </r>
    <r>
      <rPr>
        <b/>
        <sz val="10"/>
        <color rgb="FF000000"/>
        <rFont val="Aptos Narrow"/>
        <family val="2"/>
      </rPr>
      <t>equipment legal</t>
    </r>
    <r>
      <rPr>
        <sz val="10"/>
        <color rgb="FF000000"/>
        <rFont val="Aptos Narrow"/>
        <family val="2"/>
      </rPr>
      <t xml:space="preserve"> </t>
    </r>
    <r>
      <rPr>
        <b/>
        <sz val="10"/>
        <color rgb="FFFF0000"/>
        <rFont val="Aptos Narrow"/>
        <family val="2"/>
      </rPr>
      <t>(Get a YES)</t>
    </r>
  </si>
  <si>
    <r>
      <rPr>
        <b/>
        <sz val="10"/>
        <color rgb="FF000000"/>
        <rFont val="Aptos Narrow"/>
        <family val="2"/>
      </rPr>
      <t>On Defense</t>
    </r>
    <r>
      <rPr>
        <sz val="10"/>
        <color rgb="FF000000"/>
        <rFont val="Aptos Narrow"/>
        <family val="2"/>
      </rPr>
      <t xml:space="preserve"> 1 Coach in Gate Area he can sit on Bucket - Gate can be open (No Players)</t>
    </r>
  </si>
  <si>
    <r>
      <rPr>
        <b/>
        <sz val="10"/>
        <color rgb="FF000000"/>
        <rFont val="Aptos Narrow"/>
        <family val="2"/>
      </rPr>
      <t>Always keep a catcher ready</t>
    </r>
    <r>
      <rPr>
        <sz val="10"/>
        <color rgb="FF000000"/>
        <rFont val="Aptos Narrow"/>
        <family val="2"/>
      </rPr>
      <t xml:space="preserve"> for the upcoming inning (last player out Runs for C and P with 2 outs)</t>
    </r>
  </si>
  <si>
    <r>
      <rPr>
        <b/>
        <sz val="10"/>
        <color rgb="FF000000"/>
        <rFont val="Aptos Narrow"/>
        <family val="2"/>
      </rPr>
      <t>Orange Base</t>
    </r>
    <r>
      <rPr>
        <sz val="10"/>
        <color rgb="FF000000"/>
        <rFont val="Aptos Narrow"/>
        <family val="2"/>
      </rPr>
      <t xml:space="preserve"> is to be used at all times for a play at 1B, If runner steps on white base they will be called out if the 1st baseman catches the ball</t>
    </r>
  </si>
  <si>
    <t>Runner must return to White Bag and 1st baseman must allow him to do so.  If runner steps on Orange bag first the runner can be tagged out.</t>
  </si>
  <si>
    <r>
      <rPr>
        <b/>
        <sz val="10"/>
        <color rgb="FF000000"/>
        <rFont val="Aptos Narrow"/>
        <family val="2"/>
      </rPr>
      <t>Minor A and Minor B</t>
    </r>
    <r>
      <rPr>
        <sz val="10"/>
        <color rgb="FF000000"/>
        <rFont val="Aptos Narrow"/>
        <family val="2"/>
      </rPr>
      <t xml:space="preserve"> - 1:45 No New Inning - 2 Hr drop dead</t>
    </r>
  </si>
  <si>
    <r>
      <rPr>
        <b/>
        <sz val="10"/>
        <color rgb="FF000000"/>
        <rFont val="Aptos Narrow"/>
        <family val="2"/>
      </rPr>
      <t>Majors</t>
    </r>
    <r>
      <rPr>
        <sz val="10"/>
        <color rgb="FF000000"/>
        <rFont val="Aptos Narrow"/>
        <family val="2"/>
      </rPr>
      <t xml:space="preserve"> - Play 6 innings No Tme Limit</t>
    </r>
  </si>
  <si>
    <r>
      <rPr>
        <b/>
        <sz val="10"/>
        <color rgb="FF000000"/>
        <rFont val="Aptos Narrow"/>
        <family val="2"/>
      </rPr>
      <t>Farm</t>
    </r>
    <r>
      <rPr>
        <sz val="10"/>
        <color rgb="FF000000"/>
        <rFont val="Aptos Narrow"/>
        <family val="2"/>
      </rPr>
      <t xml:space="preserve"> 1:15 No New Inning - 1:30 Drop Dead</t>
    </r>
  </si>
  <si>
    <r>
      <t xml:space="preserve">Batters are to </t>
    </r>
    <r>
      <rPr>
        <b/>
        <sz val="10"/>
        <color rgb="FF000000"/>
        <rFont val="Aptos Narrow"/>
        <family val="2"/>
      </rPr>
      <t>stay in the box</t>
    </r>
    <r>
      <rPr>
        <sz val="10"/>
        <color rgb="FF000000"/>
        <rFont val="Aptos Narrow"/>
        <family val="2"/>
      </rPr>
      <t xml:space="preserve"> with one foot out between picthes (Keep the game moving)</t>
    </r>
  </si>
  <si>
    <r>
      <rPr>
        <b/>
        <sz val="10"/>
        <color rgb="FF000000"/>
        <rFont val="Aptos Narrow"/>
        <family val="2"/>
      </rPr>
      <t>No coaches coaching from outside the dugout</t>
    </r>
    <r>
      <rPr>
        <sz val="10"/>
        <color rgb="FF000000"/>
        <rFont val="Aptos Narrow"/>
        <family val="2"/>
      </rPr>
      <t xml:space="preserve"> (No one standing down the lines)</t>
    </r>
  </si>
  <si>
    <t>Cancel</t>
  </si>
  <si>
    <t>No</t>
  </si>
  <si>
    <t>Good</t>
  </si>
  <si>
    <t>Schedule</t>
  </si>
  <si>
    <t>Joshue Sayre</t>
  </si>
  <si>
    <t>Mo, We, Su</t>
  </si>
  <si>
    <t>M, W</t>
  </si>
  <si>
    <t>Wolfgang Gere</t>
  </si>
  <si>
    <t>Eric Ornales</t>
  </si>
  <si>
    <t>Adrian Orozco</t>
  </si>
  <si>
    <t>Tu, Fr, Su</t>
  </si>
  <si>
    <t>Tu, Fr</t>
  </si>
  <si>
    <t>Pratham Parmar</t>
  </si>
  <si>
    <t>Albert Rabogo</t>
  </si>
  <si>
    <t>We</t>
  </si>
  <si>
    <t>Andres Orduno</t>
  </si>
  <si>
    <t>Mo, We</t>
  </si>
  <si>
    <t>Sat, Tu</t>
  </si>
  <si>
    <t>Su</t>
  </si>
  <si>
    <t>xx</t>
  </si>
  <si>
    <t>Joseph Andezola</t>
  </si>
  <si>
    <t>Mo, Tu, We</t>
  </si>
  <si>
    <t>Thomas Nasuti</t>
  </si>
  <si>
    <t>Diego Ritson</t>
  </si>
  <si>
    <t>Joey Ruiz</t>
  </si>
  <si>
    <t>Ryan Sanchez</t>
  </si>
  <si>
    <t>William Combs</t>
  </si>
  <si>
    <t>LBLL</t>
  </si>
  <si>
    <t>Village</t>
  </si>
  <si>
    <t>Farm Solo</t>
  </si>
  <si>
    <t>Minor B Solo</t>
  </si>
  <si>
    <t>Minor A Solo</t>
  </si>
  <si>
    <t>I spoke to Chief Umpire and this is his Price Schedule for LV</t>
  </si>
  <si>
    <t>*Major Plate</t>
  </si>
  <si>
    <t>*Major Bases</t>
  </si>
  <si>
    <t>Same as 25</t>
  </si>
  <si>
    <t>Up 5 from 25</t>
  </si>
  <si>
    <t>My pricing is the same as last year in Minors and Farm</t>
  </si>
  <si>
    <t>Pricing listed includes Umpire and assigning fees</t>
  </si>
  <si>
    <t>*Price raised for Majors</t>
  </si>
  <si>
    <t>Minor B Games</t>
  </si>
  <si>
    <t>Minor A Games</t>
  </si>
  <si>
    <t>Farm Games</t>
  </si>
  <si>
    <t>Major games</t>
  </si>
  <si>
    <t>Sample of games for an entire regular season (Rough number of games)</t>
  </si>
  <si>
    <t>5 Weeks 10 games a week</t>
  </si>
  <si>
    <t>10 Weeks 12 games a week</t>
  </si>
  <si>
    <t>10 Weeks 10 games a week</t>
  </si>
  <si>
    <t>10 Weeks 6 games a week + Midseason Tournamnet</t>
  </si>
  <si>
    <t>Hunt</t>
  </si>
  <si>
    <t>Mrsh</t>
  </si>
  <si>
    <t>MnrA</t>
  </si>
  <si>
    <t>MnrB</t>
  </si>
  <si>
    <t>Maj</t>
  </si>
  <si>
    <t>Day</t>
  </si>
  <si>
    <t>JoBuch</t>
  </si>
  <si>
    <t>JoRuiz</t>
  </si>
  <si>
    <t>TMXX</t>
  </si>
  <si>
    <t>TMYY</t>
  </si>
  <si>
    <t>Eldo</t>
  </si>
  <si>
    <t>TM99</t>
  </si>
  <si>
    <t>TM88</t>
  </si>
  <si>
    <t xml:space="preserve">The schedule for next week </t>
  </si>
  <si>
    <t>has not been configured</t>
  </si>
  <si>
    <t>just yet</t>
  </si>
  <si>
    <t xml:space="preserve">Any questions please </t>
  </si>
  <si>
    <t>use the keys below to send</t>
  </si>
  <si>
    <t>Tom a msg</t>
  </si>
  <si>
    <t>Just overwrite the Text</t>
  </si>
  <si>
    <t>Mar 9-Mar 15</t>
  </si>
  <si>
    <t>Sun</t>
  </si>
  <si>
    <t>Fri</t>
  </si>
  <si>
    <t>Sat</t>
  </si>
  <si>
    <t>Mar 16-Mar 22</t>
  </si>
  <si>
    <t>Mar 23-Mar 29</t>
  </si>
  <si>
    <t>Nieto</t>
  </si>
  <si>
    <t>WeekDay Games from Mar, 23 to Mar, 27</t>
  </si>
  <si>
    <t>WeekEnd Games from Mar, 28 to Mar, 29</t>
  </si>
  <si>
    <t>GPapp</t>
  </si>
  <si>
    <t>Sergio</t>
  </si>
  <si>
    <t>Sean</t>
  </si>
  <si>
    <t>Caleb</t>
  </si>
  <si>
    <t>Diego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</si>
</sst>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h:mm\ AM/PM;@"/>
    <numFmt numFmtId="165" formatCode="ddd\ mmm\,\ d"/>
    <numFmt numFmtId="166" formatCode="###"/>
    <numFmt numFmtId="167" formatCode="ddd"/>
    <numFmt numFmtId="168" formatCode="ddd\ m/d"/>
  </numFmts>
  <fonts count="85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color theme="2" tint="-9.9978637043366805E-2"/>
      <name val="Calibri"/>
      <family val="2"/>
    </font>
    <font>
      <i/>
      <sz val="9"/>
      <color rgb="FF000000"/>
      <name val="Calibri"/>
      <family val="2"/>
    </font>
    <font>
      <sz val="11"/>
      <color rgb="FF7030A0"/>
      <name val="Calibri"/>
      <family val="2"/>
    </font>
    <font>
      <i/>
      <sz val="9"/>
      <color rgb="FF7030A0"/>
      <name val="Calibri"/>
      <family val="2"/>
    </font>
    <font>
      <b/>
      <sz val="11"/>
      <color rgb="FF7030A0"/>
      <name val="Calibri"/>
      <family val="2"/>
    </font>
    <font>
      <b/>
      <sz val="11"/>
      <color theme="1"/>
      <name val="Calibri"/>
      <family val="2"/>
    </font>
    <font>
      <sz val="8"/>
      <color rgb="FF7030A0"/>
      <name val="Calibri"/>
      <family val="2"/>
    </font>
    <font>
      <sz val="8"/>
      <color rgb="FF000000"/>
      <name val="Calibri"/>
      <family val="2"/>
    </font>
    <font>
      <i/>
      <sz val="9"/>
      <color rgb="FFFF0000"/>
      <name val="Calibri"/>
      <family val="2"/>
    </font>
    <font>
      <sz val="8"/>
      <color rgb="FFFF0000"/>
      <name val="Calibri"/>
      <family val="2"/>
    </font>
    <font>
      <b/>
      <sz val="11"/>
      <color theme="0"/>
      <name val="Calibri"/>
      <family val="2"/>
    </font>
    <font>
      <i/>
      <sz val="5"/>
      <color theme="0"/>
      <name val="Calibri"/>
      <family val="2"/>
    </font>
    <font>
      <i/>
      <sz val="9"/>
      <color theme="0"/>
      <name val="Calibri"/>
      <family val="2"/>
    </font>
    <font>
      <sz val="11"/>
      <color theme="0" tint="-0.499984740745262"/>
      <name val="Calibri"/>
      <family val="2"/>
    </font>
    <font>
      <b/>
      <i/>
      <sz val="11"/>
      <color theme="1"/>
      <name val="Calibri"/>
      <family val="2"/>
    </font>
    <font>
      <sz val="11"/>
      <color theme="1"/>
      <name val="Calibri"/>
      <family val="2"/>
    </font>
    <font>
      <strike/>
      <sz val="11"/>
      <color rgb="FF000000"/>
      <name val="Calibri"/>
      <family val="2"/>
    </font>
    <font>
      <b/>
      <u/>
      <sz val="14"/>
      <color rgb="FF000000"/>
      <name val="Calibri"/>
      <family val="2"/>
    </font>
    <font>
      <i/>
      <sz val="11"/>
      <color rgb="FF000000"/>
      <name val="Calibri"/>
      <family val="2"/>
    </font>
    <font>
      <sz val="8"/>
      <color theme="1"/>
      <name val="Calibri"/>
      <family val="2"/>
    </font>
    <font>
      <i/>
      <sz val="9"/>
      <color theme="1"/>
      <name val="Calibri"/>
      <family val="2"/>
    </font>
    <font>
      <b/>
      <sz val="18"/>
      <color rgb="FF000000"/>
      <name val="Calibri"/>
      <family val="2"/>
    </font>
    <font>
      <b/>
      <sz val="9"/>
      <color rgb="FF000000"/>
      <name val="Calibri"/>
      <family val="2"/>
    </font>
    <font>
      <b/>
      <sz val="9"/>
      <color theme="0"/>
      <name val="Calibri"/>
      <family val="2"/>
    </font>
    <font>
      <sz val="10"/>
      <color rgb="FF000000"/>
      <name val="Aptos Narrow"/>
      <family val="2"/>
    </font>
    <font>
      <b/>
      <sz val="10"/>
      <color rgb="FF000000"/>
      <name val="Aptos Narrow"/>
      <family val="2"/>
    </font>
    <font>
      <b/>
      <sz val="10"/>
      <color rgb="FFFF0000"/>
      <name val="Aptos Narrow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0"/>
      <color theme="1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trike/>
      <sz val="8"/>
      <color rgb="FFFF0000"/>
      <name val="Calibri"/>
      <family val="2"/>
    </font>
    <font>
      <i/>
      <strike/>
      <sz val="9"/>
      <color rgb="FFFF0000"/>
      <name val="Calibri"/>
      <family val="2"/>
    </font>
    <font>
      <b/>
      <strike/>
      <sz val="11"/>
      <color rgb="FFFF0000"/>
      <name val="Calibri"/>
      <family val="2"/>
    </font>
    <font>
      <b/>
      <strike/>
      <sz val="11"/>
      <color theme="1"/>
      <name val="Calibri"/>
      <family val="2"/>
    </font>
    <font>
      <strike/>
      <sz val="11"/>
      <color rgb="FFFF0000"/>
      <name val="Calibri"/>
      <family val="2"/>
    </font>
    <font>
      <strike/>
      <sz val="11"/>
      <color theme="2" tint="-9.9978637043366805E-2"/>
      <name val="Calibri"/>
      <family val="2"/>
    </font>
    <font>
      <strike/>
      <sz val="11"/>
      <color theme="0" tint="-0.499984740745262"/>
      <name val="Calibri"/>
      <family val="2"/>
    </font>
    <font>
      <strike/>
      <sz val="8"/>
      <color rgb="FF000000"/>
      <name val="Calibri"/>
      <family val="2"/>
    </font>
    <font>
      <i/>
      <strike/>
      <sz val="9"/>
      <color rgb="FF000000"/>
      <name val="Calibri"/>
      <family val="2"/>
    </font>
    <font>
      <b/>
      <strike/>
      <sz val="11"/>
      <color rgb="FF000000"/>
      <name val="Calibri"/>
      <family val="2"/>
    </font>
    <font>
      <strike/>
      <sz val="8"/>
      <color rgb="FF7030A0"/>
      <name val="Calibri"/>
      <family val="2"/>
    </font>
    <font>
      <i/>
      <strike/>
      <sz val="9"/>
      <color rgb="FF7030A0"/>
      <name val="Calibri"/>
      <family val="2"/>
    </font>
    <font>
      <b/>
      <strike/>
      <sz val="11"/>
      <color rgb="FF7030A0"/>
      <name val="Calibri"/>
      <family val="2"/>
    </font>
    <font>
      <strike/>
      <sz val="11"/>
      <color rgb="FF7030A0"/>
      <name val="Calibri"/>
      <family val="2"/>
    </font>
    <font>
      <strike/>
      <sz val="8"/>
      <color theme="1"/>
      <name val="Calibri"/>
      <family val="2"/>
    </font>
    <font>
      <i/>
      <strike/>
      <sz val="9"/>
      <color theme="1"/>
      <name val="Calibri"/>
      <family val="2"/>
    </font>
    <font>
      <strike/>
      <sz val="11"/>
      <color theme="1"/>
      <name val="Calibri"/>
      <family val="2"/>
    </font>
    <font>
      <i/>
      <strike/>
      <sz val="5"/>
      <color theme="0"/>
      <name val="Calibri"/>
      <family val="2"/>
    </font>
    <font>
      <i/>
      <strike/>
      <sz val="9"/>
      <color theme="0"/>
      <name val="Calibri"/>
      <family val="2"/>
    </font>
    <font>
      <b/>
      <strike/>
      <sz val="11"/>
      <color theme="0"/>
      <name val="Calibri"/>
      <family val="2"/>
    </font>
    <font>
      <strike/>
      <sz val="8"/>
      <color rgb="FF002060"/>
      <name val="Calibri"/>
      <family val="2"/>
    </font>
    <font>
      <i/>
      <strike/>
      <sz val="9"/>
      <color rgb="FF002060"/>
      <name val="Calibri"/>
      <family val="2"/>
    </font>
    <font>
      <b/>
      <strike/>
      <sz val="11"/>
      <color rgb="FF002060"/>
      <name val="Calibri"/>
      <family val="2"/>
    </font>
    <font>
      <strike/>
      <sz val="11"/>
      <color rgb="FF002060"/>
      <name val="Calibri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rgb="FF000000"/>
      <name val="Arial Narrow"/>
      <family val="2"/>
    </font>
    <font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8"/>
      <color rgb="FF002060"/>
      <name val="Calibri"/>
      <family val="2"/>
    </font>
    <font>
      <i/>
      <sz val="9"/>
      <color rgb="FF002060"/>
      <name val="Calibri"/>
      <family val="2"/>
    </font>
    <font>
      <b/>
      <sz val="11"/>
      <color rgb="FF002060"/>
      <name val="Calibri"/>
      <family val="2"/>
    </font>
    <font>
      <sz val="11"/>
      <color rgb="FF002060"/>
      <name val="Calibri"/>
      <family val="2"/>
    </font>
    <font>
      <b/>
      <sz val="10"/>
      <color rgb="FF002060"/>
      <name val="Arial Narrow"/>
      <family val="2"/>
    </font>
    <font>
      <sz val="10"/>
      <color rgb="FF002060"/>
      <name val="Arial Narrow"/>
      <family val="2"/>
    </font>
    <font>
      <sz val="8"/>
      <color theme="3" tint="-0.249977111117893"/>
      <name val="Calibri"/>
      <family val="2"/>
    </font>
    <font>
      <i/>
      <sz val="9"/>
      <color theme="3" tint="-0.249977111117893"/>
      <name val="Calibri"/>
      <family val="2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 applyBorder="0"/>
    <xf numFmtId="43" fontId="31" fillId="0" borderId="0" applyFont="0" applyFill="0" applyBorder="0" applyAlignment="0" applyProtection="0"/>
  </cellStyleXfs>
  <cellXfs count="543">
    <xf numFmtId="0" fontId="0" fillId="0" borderId="0" xfId="0"/>
    <xf numFmtId="0" fontId="1" fillId="0" borderId="0" xfId="0" applyFont="1"/>
    <xf numFmtId="0" fontId="0" fillId="0" borderId="0" xfId="0" applyBorder="1"/>
    <xf numFmtId="0" fontId="4" fillId="4" borderId="0" xfId="0" applyFont="1" applyFill="1"/>
    <xf numFmtId="0" fontId="0" fillId="4" borderId="0" xfId="0" applyFill="1"/>
    <xf numFmtId="0" fontId="5" fillId="0" borderId="0" xfId="0" applyFont="1"/>
    <xf numFmtId="0" fontId="11" fillId="0" borderId="0" xfId="0" applyFont="1"/>
    <xf numFmtId="0" fontId="10" fillId="2" borderId="4" xfId="0" applyFont="1" applyFill="1" applyBorder="1"/>
    <xf numFmtId="0" fontId="10" fillId="2" borderId="1" xfId="0" applyFont="1" applyFill="1" applyBorder="1"/>
    <xf numFmtId="0" fontId="7" fillId="2" borderId="1" xfId="0" applyFont="1" applyFill="1" applyBorder="1"/>
    <xf numFmtId="0" fontId="10" fillId="2" borderId="6" xfId="0" applyFont="1" applyFill="1" applyBorder="1"/>
    <xf numFmtId="0" fontId="10" fillId="2" borderId="7" xfId="0" applyFont="1" applyFill="1" applyBorder="1"/>
    <xf numFmtId="0" fontId="7" fillId="2" borderId="7" xfId="0" applyFont="1" applyFill="1" applyBorder="1"/>
    <xf numFmtId="0" fontId="11" fillId="0" borderId="4" xfId="0" applyFont="1" applyBorder="1"/>
    <xf numFmtId="0" fontId="11" fillId="0" borderId="1" xfId="0" applyFont="1" applyBorder="1"/>
    <xf numFmtId="0" fontId="5" fillId="0" borderId="1" xfId="0" applyFont="1" applyBorder="1"/>
    <xf numFmtId="0" fontId="13" fillId="0" borderId="4" xfId="0" applyFont="1" applyBorder="1"/>
    <xf numFmtId="0" fontId="13" fillId="0" borderId="1" xfId="0" applyFont="1" applyBorder="1"/>
    <xf numFmtId="0" fontId="12" fillId="0" borderId="1" xfId="0" applyFont="1" applyBorder="1"/>
    <xf numFmtId="0" fontId="10" fillId="0" borderId="4" xfId="0" applyFont="1" applyBorder="1"/>
    <xf numFmtId="0" fontId="10" fillId="0" borderId="1" xfId="0" applyFont="1" applyBorder="1"/>
    <xf numFmtId="0" fontId="7" fillId="0" borderId="1" xfId="0" applyFont="1" applyBorder="1"/>
    <xf numFmtId="0" fontId="13" fillId="3" borderId="4" xfId="0" applyFont="1" applyFill="1" applyBorder="1"/>
    <xf numFmtId="0" fontId="13" fillId="3" borderId="1" xfId="0" applyFont="1" applyFill="1" applyBorder="1"/>
    <xf numFmtId="0" fontId="12" fillId="3" borderId="1" xfId="0" applyFont="1" applyFill="1" applyBorder="1"/>
    <xf numFmtId="0" fontId="13" fillId="3" borderId="12" xfId="0" applyFont="1" applyFill="1" applyBorder="1"/>
    <xf numFmtId="0" fontId="13" fillId="3" borderId="3" xfId="0" applyFont="1" applyFill="1" applyBorder="1"/>
    <xf numFmtId="0" fontId="12" fillId="3" borderId="3" xfId="0" applyFont="1" applyFill="1" applyBorder="1"/>
    <xf numFmtId="0" fontId="12" fillId="3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165" fontId="8" fillId="2" borderId="1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165" fontId="8" fillId="0" borderId="1" xfId="0" applyNumberFormat="1" applyFont="1" applyBorder="1"/>
    <xf numFmtId="165" fontId="9" fillId="0" borderId="1" xfId="0" applyNumberFormat="1" applyFont="1" applyBorder="1"/>
    <xf numFmtId="165" fontId="3" fillId="0" borderId="1" xfId="0" applyNumberFormat="1" applyFont="1" applyBorder="1"/>
    <xf numFmtId="165" fontId="8" fillId="2" borderId="7" xfId="0" applyNumberFormat="1" applyFont="1" applyFill="1" applyBorder="1"/>
    <xf numFmtId="165" fontId="9" fillId="0" borderId="0" xfId="0" applyNumberFormat="1" applyFont="1"/>
    <xf numFmtId="166" fontId="17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166" fontId="2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5" borderId="21" xfId="0" applyFont="1" applyFill="1" applyBorder="1" applyAlignment="1">
      <alignment horizontal="right"/>
    </xf>
    <xf numFmtId="166" fontId="1" fillId="6" borderId="18" xfId="0" applyNumberFormat="1" applyFont="1" applyFill="1" applyBorder="1" applyAlignment="1">
      <alignment horizontal="center"/>
    </xf>
    <xf numFmtId="166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1" fillId="3" borderId="4" xfId="0" applyFont="1" applyFill="1" applyBorder="1"/>
    <xf numFmtId="0" fontId="11" fillId="3" borderId="1" xfId="0" applyFont="1" applyFill="1" applyBorder="1"/>
    <xf numFmtId="0" fontId="5" fillId="3" borderId="1" xfId="0" applyFont="1" applyFill="1" applyBorder="1"/>
    <xf numFmtId="165" fontId="9" fillId="3" borderId="1" xfId="0" applyNumberFormat="1" applyFont="1" applyFill="1" applyBorder="1"/>
    <xf numFmtId="0" fontId="10" fillId="3" borderId="4" xfId="0" applyFont="1" applyFill="1" applyBorder="1"/>
    <xf numFmtId="0" fontId="10" fillId="3" borderId="1" xfId="0" applyFont="1" applyFill="1" applyBorder="1"/>
    <xf numFmtId="0" fontId="7" fillId="3" borderId="1" xfId="0" applyFont="1" applyFill="1" applyBorder="1"/>
    <xf numFmtId="165" fontId="8" fillId="3" borderId="1" xfId="0" applyNumberFormat="1" applyFont="1" applyFill="1" applyBorder="1"/>
    <xf numFmtId="0" fontId="13" fillId="5" borderId="4" xfId="0" applyFont="1" applyFill="1" applyBorder="1"/>
    <xf numFmtId="0" fontId="13" fillId="5" borderId="1" xfId="0" applyFont="1" applyFill="1" applyBorder="1"/>
    <xf numFmtId="0" fontId="12" fillId="5" borderId="1" xfId="0" applyFont="1" applyFill="1" applyBorder="1"/>
    <xf numFmtId="165" fontId="3" fillId="5" borderId="1" xfId="0" applyNumberFormat="1" applyFont="1" applyFill="1" applyBorder="1"/>
    <xf numFmtId="0" fontId="20" fillId="0" borderId="0" xfId="0" applyFont="1"/>
    <xf numFmtId="0" fontId="21" fillId="0" borderId="0" xfId="0" applyFont="1" applyBorder="1"/>
    <xf numFmtId="0" fontId="22" fillId="0" borderId="0" xfId="0" applyFont="1"/>
    <xf numFmtId="0" fontId="1" fillId="3" borderId="0" xfId="0" applyFont="1" applyFill="1"/>
    <xf numFmtId="0" fontId="0" fillId="3" borderId="0" xfId="0" applyFill="1"/>
    <xf numFmtId="0" fontId="3" fillId="0" borderId="0" xfId="0" applyFont="1"/>
    <xf numFmtId="0" fontId="19" fillId="0" borderId="0" xfId="0" applyFont="1"/>
    <xf numFmtId="0" fontId="25" fillId="0" borderId="0" xfId="0" applyFont="1"/>
    <xf numFmtId="0" fontId="24" fillId="0" borderId="1" xfId="0" applyFont="1" applyBorder="1"/>
    <xf numFmtId="0" fontId="0" fillId="0" borderId="0" xfId="0" applyAlignment="1">
      <alignment vertical="top"/>
    </xf>
    <xf numFmtId="0" fontId="23" fillId="0" borderId="4" xfId="0" applyFont="1" applyBorder="1"/>
    <xf numFmtId="0" fontId="23" fillId="0" borderId="1" xfId="0" applyFont="1" applyBorder="1"/>
    <xf numFmtId="0" fontId="9" fillId="2" borderId="25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4" fontId="9" fillId="2" borderId="26" xfId="0" applyNumberFormat="1" applyFont="1" applyFill="1" applyBorder="1" applyAlignment="1">
      <alignment horizontal="center"/>
    </xf>
    <xf numFmtId="0" fontId="9" fillId="2" borderId="27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2" fillId="0" borderId="2" xfId="0" applyFont="1" applyBorder="1" applyAlignment="1">
      <alignment horizontal="center" textRotation="55"/>
    </xf>
    <xf numFmtId="166" fontId="3" fillId="3" borderId="2" xfId="0" applyNumberFormat="1" applyFont="1" applyFill="1" applyBorder="1" applyAlignment="1">
      <alignment horizontal="center" textRotation="55"/>
    </xf>
    <xf numFmtId="166" fontId="1" fillId="3" borderId="2" xfId="0" applyNumberFormat="1" applyFont="1" applyFill="1" applyBorder="1" applyAlignment="1">
      <alignment horizontal="center" textRotation="55"/>
    </xf>
    <xf numFmtId="166" fontId="14" fillId="10" borderId="2" xfId="0" applyNumberFormat="1" applyFont="1" applyFill="1" applyBorder="1" applyAlignment="1">
      <alignment horizontal="center" textRotation="55"/>
    </xf>
    <xf numFmtId="166" fontId="1" fillId="9" borderId="2" xfId="0" applyNumberFormat="1" applyFont="1" applyFill="1" applyBorder="1" applyAlignment="1">
      <alignment horizontal="center" textRotation="55"/>
    </xf>
    <xf numFmtId="166" fontId="1" fillId="11" borderId="2" xfId="0" applyNumberFormat="1" applyFont="1" applyFill="1" applyBorder="1" applyAlignment="1">
      <alignment horizontal="center" textRotation="55"/>
    </xf>
    <xf numFmtId="166" fontId="1" fillId="8" borderId="2" xfId="0" applyNumberFormat="1" applyFont="1" applyFill="1" applyBorder="1" applyAlignment="1">
      <alignment horizontal="center" textRotation="55"/>
    </xf>
    <xf numFmtId="166" fontId="14" fillId="13" borderId="1" xfId="0" applyNumberFormat="1" applyFont="1" applyFill="1" applyBorder="1" applyAlignment="1">
      <alignment horizontal="center"/>
    </xf>
    <xf numFmtId="166" fontId="14" fillId="0" borderId="0" xfId="0" applyNumberFormat="1" applyFont="1" applyBorder="1" applyAlignment="1">
      <alignment horizontal="center"/>
    </xf>
    <xf numFmtId="0" fontId="13" fillId="14" borderId="9" xfId="0" applyFont="1" applyFill="1" applyBorder="1"/>
    <xf numFmtId="0" fontId="13" fillId="14" borderId="30" xfId="0" applyFont="1" applyFill="1" applyBorder="1"/>
    <xf numFmtId="0" fontId="15" fillId="14" borderId="30" xfId="0" applyFont="1" applyFill="1" applyBorder="1" applyAlignment="1">
      <alignment horizontal="center" vertical="top"/>
    </xf>
    <xf numFmtId="0" fontId="16" fillId="14" borderId="30" xfId="0" applyFont="1" applyFill="1" applyBorder="1"/>
    <xf numFmtId="165" fontId="3" fillId="14" borderId="30" xfId="0" applyNumberFormat="1" applyFont="1" applyFill="1" applyBorder="1"/>
    <xf numFmtId="0" fontId="13" fillId="4" borderId="9" xfId="0" applyFont="1" applyFill="1" applyBorder="1"/>
    <xf numFmtId="0" fontId="13" fillId="4" borderId="30" xfId="0" applyFont="1" applyFill="1" applyBorder="1"/>
    <xf numFmtId="0" fontId="15" fillId="4" borderId="30" xfId="0" applyFont="1" applyFill="1" applyBorder="1" applyAlignment="1">
      <alignment horizontal="center" vertical="top"/>
    </xf>
    <xf numFmtId="0" fontId="16" fillId="4" borderId="30" xfId="0" applyFont="1" applyFill="1" applyBorder="1"/>
    <xf numFmtId="165" fontId="3" fillId="4" borderId="30" xfId="0" applyNumberFormat="1" applyFont="1" applyFill="1" applyBorder="1"/>
    <xf numFmtId="166" fontId="26" fillId="6" borderId="18" xfId="0" applyNumberFormat="1" applyFont="1" applyFill="1" applyBorder="1" applyAlignment="1">
      <alignment horizontal="center"/>
    </xf>
    <xf numFmtId="166" fontId="26" fillId="2" borderId="23" xfId="0" applyNumberFormat="1" applyFont="1" applyFill="1" applyBorder="1" applyAlignment="1">
      <alignment horizontal="center"/>
    </xf>
    <xf numFmtId="166" fontId="26" fillId="3" borderId="23" xfId="0" applyNumberFormat="1" applyFont="1" applyFill="1" applyBorder="1" applyAlignment="1">
      <alignment horizontal="center"/>
    </xf>
    <xf numFmtId="166" fontId="27" fillId="10" borderId="23" xfId="0" applyNumberFormat="1" applyFont="1" applyFill="1" applyBorder="1" applyAlignment="1">
      <alignment horizontal="center"/>
    </xf>
    <xf numFmtId="166" fontId="26" fillId="9" borderId="23" xfId="0" applyNumberFormat="1" applyFont="1" applyFill="1" applyBorder="1" applyAlignment="1">
      <alignment horizontal="center"/>
    </xf>
    <xf numFmtId="166" fontId="26" fillId="12" borderId="23" xfId="0" applyNumberFormat="1" applyFont="1" applyFill="1" applyBorder="1" applyAlignment="1">
      <alignment horizontal="center"/>
    </xf>
    <xf numFmtId="166" fontId="26" fillId="8" borderId="23" xfId="0" applyNumberFormat="1" applyFont="1" applyFill="1" applyBorder="1" applyAlignment="1">
      <alignment horizontal="center"/>
    </xf>
    <xf numFmtId="166" fontId="27" fillId="13" borderId="24" xfId="0" applyNumberFormat="1" applyFont="1" applyFill="1" applyBorder="1" applyAlignment="1">
      <alignment horizontal="center"/>
    </xf>
    <xf numFmtId="166" fontId="1" fillId="3" borderId="10" xfId="0" applyNumberFormat="1" applyFont="1" applyFill="1" applyBorder="1" applyAlignment="1">
      <alignment horizontal="center"/>
    </xf>
    <xf numFmtId="166" fontId="1" fillId="15" borderId="10" xfId="0" applyNumberFormat="1" applyFont="1" applyFill="1" applyBorder="1" applyAlignment="1">
      <alignment horizontal="center"/>
    </xf>
    <xf numFmtId="166" fontId="1" fillId="12" borderId="10" xfId="0" applyNumberFormat="1" applyFont="1" applyFill="1" applyBorder="1" applyAlignment="1">
      <alignment horizontal="center"/>
    </xf>
    <xf numFmtId="166" fontId="14" fillId="16" borderId="10" xfId="0" applyNumberFormat="1" applyFont="1" applyFill="1" applyBorder="1" applyAlignment="1">
      <alignment horizontal="center"/>
    </xf>
    <xf numFmtId="166" fontId="1" fillId="17" borderId="10" xfId="0" applyNumberFormat="1" applyFont="1" applyFill="1" applyBorder="1" applyAlignment="1">
      <alignment horizontal="center"/>
    </xf>
    <xf numFmtId="166" fontId="18" fillId="0" borderId="0" xfId="0" applyNumberFormat="1" applyFont="1" applyBorder="1" applyAlignment="1">
      <alignment horizontal="left"/>
    </xf>
    <xf numFmtId="166" fontId="1" fillId="18" borderId="2" xfId="0" applyNumberFormat="1" applyFont="1" applyFill="1" applyBorder="1" applyAlignment="1">
      <alignment horizontal="center" textRotation="55"/>
    </xf>
    <xf numFmtId="166" fontId="26" fillId="18" borderId="23" xfId="0" applyNumberFormat="1" applyFont="1" applyFill="1" applyBorder="1" applyAlignment="1">
      <alignment horizontal="center"/>
    </xf>
    <xf numFmtId="166" fontId="1" fillId="18" borderId="10" xfId="0" applyNumberFormat="1" applyFont="1" applyFill="1" applyBorder="1" applyAlignment="1">
      <alignment horizontal="center"/>
    </xf>
    <xf numFmtId="0" fontId="28" fillId="0" borderId="0" xfId="0" applyFont="1" applyAlignment="1">
      <alignment wrapText="1"/>
    </xf>
    <xf numFmtId="0" fontId="0" fillId="2" borderId="0" xfId="0" applyFill="1"/>
    <xf numFmtId="0" fontId="28" fillId="2" borderId="0" xfId="0" applyFont="1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vertical="top"/>
    </xf>
    <xf numFmtId="0" fontId="28" fillId="2" borderId="1" xfId="0" applyFont="1" applyFill="1" applyBorder="1" applyAlignment="1">
      <alignment wrapText="1"/>
    </xf>
    <xf numFmtId="0" fontId="28" fillId="2" borderId="2" xfId="0" applyFont="1" applyFill="1" applyBorder="1" applyAlignment="1">
      <alignment wrapText="1"/>
    </xf>
    <xf numFmtId="0" fontId="28" fillId="2" borderId="11" xfId="0" applyFont="1" applyFill="1" applyBorder="1" applyAlignment="1">
      <alignment wrapText="1"/>
    </xf>
    <xf numFmtId="0" fontId="28" fillId="5" borderId="1" xfId="0" applyFont="1" applyFill="1" applyBorder="1" applyAlignment="1">
      <alignment wrapText="1"/>
    </xf>
    <xf numFmtId="0" fontId="29" fillId="2" borderId="1" xfId="0" applyFont="1" applyFill="1" applyBorder="1" applyAlignment="1">
      <alignment wrapText="1"/>
    </xf>
    <xf numFmtId="0" fontId="29" fillId="5" borderId="1" xfId="0" applyFont="1" applyFill="1" applyBorder="1" applyAlignment="1">
      <alignment wrapText="1"/>
    </xf>
    <xf numFmtId="0" fontId="0" fillId="8" borderId="0" xfId="0" applyFill="1"/>
    <xf numFmtId="0" fontId="0" fillId="8" borderId="0" xfId="0" applyFill="1" applyAlignment="1">
      <alignment horizontal="left"/>
    </xf>
    <xf numFmtId="0" fontId="33" fillId="8" borderId="0" xfId="0" applyFont="1" applyFill="1"/>
    <xf numFmtId="0" fontId="32" fillId="8" borderId="0" xfId="0" applyFont="1" applyFill="1"/>
    <xf numFmtId="0" fontId="32" fillId="19" borderId="0" xfId="0" applyFont="1" applyFill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4" fillId="0" borderId="0" xfId="0" applyFont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5" fillId="2" borderId="0" xfId="0" applyFont="1" applyFill="1"/>
    <xf numFmtId="0" fontId="34" fillId="2" borderId="0" xfId="0" applyFont="1" applyFill="1"/>
    <xf numFmtId="43" fontId="0" fillId="0" borderId="0" xfId="1" applyFont="1" applyAlignment="1">
      <alignment horizontal="center"/>
    </xf>
    <xf numFmtId="43" fontId="0" fillId="0" borderId="0" xfId="1" applyFont="1"/>
    <xf numFmtId="43" fontId="1" fillId="0" borderId="0" xfId="1" applyFont="1" applyAlignment="1">
      <alignment horizontal="center"/>
    </xf>
    <xf numFmtId="43" fontId="1" fillId="0" borderId="0" xfId="1" applyFont="1"/>
    <xf numFmtId="0" fontId="35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40" fillId="0" borderId="0" xfId="0" applyFont="1"/>
    <xf numFmtId="167" fontId="40" fillId="0" borderId="0" xfId="0" applyNumberFormat="1" applyFont="1"/>
    <xf numFmtId="167" fontId="40" fillId="0" borderId="0" xfId="0" applyNumberFormat="1" applyFont="1" applyAlignment="1">
      <alignment horizontal="center"/>
    </xf>
    <xf numFmtId="167" fontId="40" fillId="0" borderId="0" xfId="0" applyNumberFormat="1" applyFont="1" applyAlignment="1">
      <alignment horizontal="right"/>
    </xf>
    <xf numFmtId="0" fontId="38" fillId="2" borderId="10" xfId="0" applyFont="1" applyFill="1" applyBorder="1" applyAlignment="1">
      <alignment horizontal="center"/>
    </xf>
    <xf numFmtId="0" fontId="37" fillId="2" borderId="1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167" fontId="39" fillId="9" borderId="2" xfId="0" applyNumberFormat="1" applyFont="1" applyFill="1" applyBorder="1" applyAlignment="1">
      <alignment horizontal="center"/>
    </xf>
    <xf numFmtId="164" fontId="9" fillId="2" borderId="26" xfId="0" applyNumberFormat="1" applyFont="1" applyFill="1" applyBorder="1"/>
    <xf numFmtId="164" fontId="3" fillId="4" borderId="30" xfId="0" applyNumberFormat="1" applyFont="1" applyFill="1" applyBorder="1"/>
    <xf numFmtId="164" fontId="3" fillId="3" borderId="3" xfId="0" applyNumberFormat="1" applyFont="1" applyFill="1" applyBorder="1"/>
    <xf numFmtId="164" fontId="9" fillId="3" borderId="1" xfId="0" applyNumberFormat="1" applyFont="1" applyFill="1" applyBorder="1"/>
    <xf numFmtId="164" fontId="3" fillId="3" borderId="1" xfId="0" applyNumberFormat="1" applyFont="1" applyFill="1" applyBorder="1"/>
    <xf numFmtId="164" fontId="9" fillId="0" borderId="1" xfId="0" applyNumberFormat="1" applyFont="1" applyBorder="1"/>
    <xf numFmtId="164" fontId="3" fillId="0" borderId="1" xfId="0" applyNumberFormat="1" applyFont="1" applyBorder="1"/>
    <xf numFmtId="164" fontId="8" fillId="2" borderId="1" xfId="0" applyNumberFormat="1" applyFont="1" applyFill="1" applyBorder="1"/>
    <xf numFmtId="164" fontId="3" fillId="14" borderId="30" xfId="0" applyNumberFormat="1" applyFont="1" applyFill="1" applyBorder="1"/>
    <xf numFmtId="164" fontId="8" fillId="0" borderId="1" xfId="0" applyNumberFormat="1" applyFont="1" applyBorder="1"/>
    <xf numFmtId="164" fontId="8" fillId="3" borderId="1" xfId="0" applyNumberFormat="1" applyFont="1" applyFill="1" applyBorder="1"/>
    <xf numFmtId="164" fontId="3" fillId="5" borderId="1" xfId="0" applyNumberFormat="1" applyFont="1" applyFill="1" applyBorder="1"/>
    <xf numFmtId="164" fontId="8" fillId="2" borderId="7" xfId="0" applyNumberFormat="1" applyFont="1" applyFill="1" applyBorder="1"/>
    <xf numFmtId="0" fontId="9" fillId="0" borderId="0" xfId="0" applyFont="1"/>
    <xf numFmtId="164" fontId="9" fillId="4" borderId="30" xfId="0" applyNumberFormat="1" applyFont="1" applyFill="1" applyBorder="1" applyAlignment="1">
      <alignment horizontal="center"/>
    </xf>
    <xf numFmtId="164" fontId="9" fillId="0" borderId="10" xfId="0" applyNumberFormat="1" applyFont="1" applyBorder="1" applyAlignment="1">
      <alignment horizontal="center"/>
    </xf>
    <xf numFmtId="164" fontId="3" fillId="3" borderId="15" xfId="0" applyNumberFormat="1" applyFont="1" applyFill="1" applyBorder="1" applyAlignment="1">
      <alignment horizontal="center"/>
    </xf>
    <xf numFmtId="164" fontId="9" fillId="0" borderId="11" xfId="0" applyNumberFormat="1" applyFont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8" fillId="2" borderId="9" xfId="0" applyNumberFormat="1" applyFont="1" applyFill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164" fontId="9" fillId="14" borderId="30" xfId="0" applyNumberFormat="1" applyFont="1" applyFill="1" applyBorder="1" applyAlignment="1">
      <alignment horizontal="center"/>
    </xf>
    <xf numFmtId="164" fontId="3" fillId="3" borderId="9" xfId="0" applyNumberFormat="1" applyFont="1" applyFill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3" borderId="9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11" xfId="0" applyNumberFormat="1" applyFont="1" applyBorder="1" applyAlignment="1">
      <alignment horizontal="center"/>
    </xf>
    <xf numFmtId="164" fontId="9" fillId="0" borderId="9" xfId="0" applyNumberFormat="1" applyFont="1" applyBorder="1" applyAlignment="1">
      <alignment horizontal="center"/>
    </xf>
    <xf numFmtId="164" fontId="3" fillId="5" borderId="11" xfId="0" applyNumberFormat="1" applyFont="1" applyFill="1" applyBorder="1" applyAlignment="1">
      <alignment horizontal="center"/>
    </xf>
    <xf numFmtId="164" fontId="8" fillId="2" borderId="14" xfId="0" applyNumberFormat="1" applyFont="1" applyFill="1" applyBorder="1" applyAlignment="1">
      <alignment horizontal="center"/>
    </xf>
    <xf numFmtId="164" fontId="9" fillId="0" borderId="19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36" fillId="0" borderId="11" xfId="0" applyNumberFormat="1" applyFont="1" applyBorder="1" applyAlignment="1">
      <alignment horizontal="center"/>
    </xf>
    <xf numFmtId="164" fontId="36" fillId="0" borderId="3" xfId="0" applyNumberFormat="1" applyFont="1" applyBorder="1" applyAlignment="1">
      <alignment horizontal="center"/>
    </xf>
    <xf numFmtId="164" fontId="37" fillId="2" borderId="1" xfId="0" applyNumberFormat="1" applyFont="1" applyFill="1" applyBorder="1"/>
    <xf numFmtId="164" fontId="37" fillId="2" borderId="9" xfId="0" applyNumberFormat="1" applyFont="1" applyFill="1" applyBorder="1" applyAlignment="1">
      <alignment horizontal="center"/>
    </xf>
    <xf numFmtId="0" fontId="42" fillId="3" borderId="12" xfId="0" applyFont="1" applyFill="1" applyBorder="1"/>
    <xf numFmtId="0" fontId="42" fillId="3" borderId="3" xfId="0" applyFont="1" applyFill="1" applyBorder="1"/>
    <xf numFmtId="0" fontId="43" fillId="3" borderId="3" xfId="0" applyFont="1" applyFill="1" applyBorder="1" applyAlignment="1">
      <alignment horizontal="center"/>
    </xf>
    <xf numFmtId="0" fontId="43" fillId="3" borderId="3" xfId="0" applyFont="1" applyFill="1" applyBorder="1"/>
    <xf numFmtId="165" fontId="44" fillId="3" borderId="3" xfId="0" applyNumberFormat="1" applyFont="1" applyFill="1" applyBorder="1"/>
    <xf numFmtId="164" fontId="44" fillId="3" borderId="3" xfId="0" applyNumberFormat="1" applyFont="1" applyFill="1" applyBorder="1"/>
    <xf numFmtId="164" fontId="44" fillId="3" borderId="15" xfId="0" applyNumberFormat="1" applyFont="1" applyFill="1" applyBorder="1" applyAlignment="1">
      <alignment horizontal="center"/>
    </xf>
    <xf numFmtId="164" fontId="45" fillId="0" borderId="11" xfId="0" applyNumberFormat="1" applyFont="1" applyBorder="1" applyAlignment="1">
      <alignment horizontal="center"/>
    </xf>
    <xf numFmtId="0" fontId="46" fillId="3" borderId="17" xfId="0" applyFont="1" applyFill="1" applyBorder="1" applyAlignment="1">
      <alignment horizontal="center"/>
    </xf>
    <xf numFmtId="0" fontId="44" fillId="3" borderId="13" xfId="0" applyFont="1" applyFill="1" applyBorder="1" applyAlignment="1">
      <alignment horizontal="center"/>
    </xf>
    <xf numFmtId="0" fontId="47" fillId="4" borderId="0" xfId="0" applyFont="1" applyFill="1"/>
    <xf numFmtId="166" fontId="48" fillId="0" borderId="0" xfId="0" applyNumberFormat="1" applyFont="1" applyAlignment="1">
      <alignment horizontal="center"/>
    </xf>
    <xf numFmtId="166" fontId="46" fillId="0" borderId="0" xfId="0" applyNumberFormat="1" applyFont="1" applyAlignment="1">
      <alignment horizontal="center"/>
    </xf>
    <xf numFmtId="0" fontId="49" fillId="3" borderId="4" xfId="0" applyFont="1" applyFill="1" applyBorder="1"/>
    <xf numFmtId="0" fontId="49" fillId="3" borderId="1" xfId="0" applyFont="1" applyFill="1" applyBorder="1"/>
    <xf numFmtId="0" fontId="50" fillId="3" borderId="1" xfId="0" applyFont="1" applyFill="1" applyBorder="1" applyAlignment="1">
      <alignment horizontal="center"/>
    </xf>
    <xf numFmtId="0" fontId="50" fillId="3" borderId="1" xfId="0" applyFont="1" applyFill="1" applyBorder="1"/>
    <xf numFmtId="165" fontId="45" fillId="3" borderId="1" xfId="0" applyNumberFormat="1" applyFont="1" applyFill="1" applyBorder="1"/>
    <xf numFmtId="164" fontId="45" fillId="3" borderId="1" xfId="0" applyNumberFormat="1" applyFont="1" applyFill="1" applyBorder="1"/>
    <xf numFmtId="164" fontId="51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51" fillId="3" borderId="5" xfId="0" applyFont="1" applyFill="1" applyBorder="1" applyAlignment="1">
      <alignment horizontal="center"/>
    </xf>
    <xf numFmtId="0" fontId="42" fillId="3" borderId="4" xfId="0" applyFont="1" applyFill="1" applyBorder="1"/>
    <xf numFmtId="0" fontId="42" fillId="3" borderId="1" xfId="0" applyFont="1" applyFill="1" applyBorder="1"/>
    <xf numFmtId="0" fontId="43" fillId="3" borderId="1" xfId="0" applyFont="1" applyFill="1" applyBorder="1" applyAlignment="1">
      <alignment horizontal="center"/>
    </xf>
    <xf numFmtId="0" fontId="43" fillId="3" borderId="1" xfId="0" applyFont="1" applyFill="1" applyBorder="1"/>
    <xf numFmtId="165" fontId="44" fillId="3" borderId="1" xfId="0" applyNumberFormat="1" applyFont="1" applyFill="1" applyBorder="1"/>
    <xf numFmtId="164" fontId="44" fillId="3" borderId="1" xfId="0" applyNumberFormat="1" applyFont="1" applyFill="1" applyBorder="1"/>
    <xf numFmtId="0" fontId="46" fillId="3" borderId="10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9" fillId="0" borderId="4" xfId="0" applyFont="1" applyBorder="1"/>
    <xf numFmtId="0" fontId="49" fillId="0" borderId="1" xfId="0" applyFont="1" applyBorder="1"/>
    <xf numFmtId="0" fontId="50" fillId="0" borderId="1" xfId="0" applyFont="1" applyBorder="1" applyAlignment="1">
      <alignment horizontal="center"/>
    </xf>
    <xf numFmtId="0" fontId="50" fillId="0" borderId="1" xfId="0" applyFont="1" applyBorder="1"/>
    <xf numFmtId="165" fontId="45" fillId="0" borderId="1" xfId="0" applyNumberFormat="1" applyFont="1" applyBorder="1"/>
    <xf numFmtId="164" fontId="45" fillId="0" borderId="1" xfId="0" applyNumberFormat="1" applyFont="1" applyBorder="1"/>
    <xf numFmtId="164" fontId="51" fillId="0" borderId="1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42" fillId="0" borderId="4" xfId="0" applyFont="1" applyBorder="1"/>
    <xf numFmtId="0" fontId="42" fillId="0" borderId="1" xfId="0" applyFont="1" applyBorder="1"/>
    <xf numFmtId="0" fontId="43" fillId="0" borderId="1" xfId="0" applyFont="1" applyBorder="1" applyAlignment="1">
      <alignment horizontal="center"/>
    </xf>
    <xf numFmtId="0" fontId="43" fillId="0" borderId="1" xfId="0" applyFont="1" applyBorder="1"/>
    <xf numFmtId="165" fontId="44" fillId="0" borderId="1" xfId="0" applyNumberFormat="1" applyFont="1" applyBorder="1"/>
    <xf numFmtId="164" fontId="44" fillId="0" borderId="1" xfId="0" applyNumberFormat="1" applyFont="1" applyBorder="1"/>
    <xf numFmtId="164" fontId="44" fillId="0" borderId="9" xfId="0" applyNumberFormat="1" applyFont="1" applyBorder="1" applyAlignment="1">
      <alignment horizontal="center"/>
    </xf>
    <xf numFmtId="0" fontId="46" fillId="0" borderId="10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52" fillId="2" borderId="4" xfId="0" applyFont="1" applyFill="1" applyBorder="1"/>
    <xf numFmtId="0" fontId="52" fillId="2" borderId="1" xfId="0" applyFont="1" applyFill="1" applyBorder="1"/>
    <xf numFmtId="0" fontId="53" fillId="2" borderId="1" xfId="0" applyFont="1" applyFill="1" applyBorder="1" applyAlignment="1">
      <alignment horizontal="center"/>
    </xf>
    <xf numFmtId="0" fontId="53" fillId="2" borderId="1" xfId="0" applyFont="1" applyFill="1" applyBorder="1"/>
    <xf numFmtId="165" fontId="54" fillId="2" borderId="1" xfId="0" applyNumberFormat="1" applyFont="1" applyFill="1" applyBorder="1"/>
    <xf numFmtId="164" fontId="54" fillId="2" borderId="1" xfId="0" applyNumberFormat="1" applyFont="1" applyFill="1" applyBorder="1"/>
    <xf numFmtId="164" fontId="54" fillId="2" borderId="9" xfId="0" applyNumberFormat="1" applyFont="1" applyFill="1" applyBorder="1" applyAlignment="1">
      <alignment horizontal="center"/>
    </xf>
    <xf numFmtId="0" fontId="55" fillId="2" borderId="10" xfId="0" applyFont="1" applyFill="1" applyBorder="1" applyAlignment="1">
      <alignment horizontal="center"/>
    </xf>
    <xf numFmtId="0" fontId="54" fillId="2" borderId="5" xfId="0" applyFont="1" applyFill="1" applyBorder="1" applyAlignment="1">
      <alignment horizontal="center"/>
    </xf>
    <xf numFmtId="164" fontId="54" fillId="2" borderId="1" xfId="0" applyNumberFormat="1" applyFont="1" applyFill="1" applyBorder="1" applyAlignment="1">
      <alignment horizontal="center"/>
    </xf>
    <xf numFmtId="0" fontId="52" fillId="2" borderId="29" xfId="0" applyFont="1" applyFill="1" applyBorder="1"/>
    <xf numFmtId="0" fontId="52" fillId="2" borderId="2" xfId="0" applyFont="1" applyFill="1" applyBorder="1"/>
    <xf numFmtId="0" fontId="53" fillId="2" borderId="2" xfId="0" applyFont="1" applyFill="1" applyBorder="1" applyAlignment="1">
      <alignment horizontal="center"/>
    </xf>
    <xf numFmtId="0" fontId="56" fillId="3" borderId="4" xfId="0" applyFont="1" applyFill="1" applyBorder="1"/>
    <xf numFmtId="0" fontId="56" fillId="3" borderId="1" xfId="0" applyFont="1" applyFill="1" applyBorder="1"/>
    <xf numFmtId="0" fontId="57" fillId="3" borderId="1" xfId="0" applyFont="1" applyFill="1" applyBorder="1" applyAlignment="1">
      <alignment horizontal="center"/>
    </xf>
    <xf numFmtId="0" fontId="57" fillId="3" borderId="1" xfId="0" applyFont="1" applyFill="1" applyBorder="1"/>
    <xf numFmtId="164" fontId="45" fillId="3" borderId="1" xfId="0" applyNumberFormat="1" applyFont="1" applyFill="1" applyBorder="1" applyAlignment="1">
      <alignment horizontal="center"/>
    </xf>
    <xf numFmtId="164" fontId="45" fillId="0" borderId="1" xfId="0" applyNumberFormat="1" applyFont="1" applyBorder="1" applyAlignment="1">
      <alignment horizontal="center"/>
    </xf>
    <xf numFmtId="0" fontId="58" fillId="3" borderId="10" xfId="0" applyFont="1" applyFill="1" applyBorder="1" applyAlignment="1">
      <alignment horizontal="center"/>
    </xf>
    <xf numFmtId="0" fontId="45" fillId="3" borderId="5" xfId="0" applyFont="1" applyFill="1" applyBorder="1" applyAlignment="1">
      <alignment horizontal="center"/>
    </xf>
    <xf numFmtId="0" fontId="58" fillId="4" borderId="0" xfId="0" applyFont="1" applyFill="1"/>
    <xf numFmtId="0" fontId="58" fillId="0" borderId="0" xfId="0" applyFont="1"/>
    <xf numFmtId="166" fontId="58" fillId="0" borderId="0" xfId="0" applyNumberFormat="1" applyFont="1" applyAlignment="1">
      <alignment horizontal="center"/>
    </xf>
    <xf numFmtId="164" fontId="44" fillId="3" borderId="1" xfId="0" applyNumberFormat="1" applyFont="1" applyFill="1" applyBorder="1" applyAlignment="1">
      <alignment horizontal="center"/>
    </xf>
    <xf numFmtId="0" fontId="42" fillId="14" borderId="9" xfId="0" applyFont="1" applyFill="1" applyBorder="1"/>
    <xf numFmtId="0" fontId="42" fillId="14" borderId="30" xfId="0" applyFont="1" applyFill="1" applyBorder="1"/>
    <xf numFmtId="0" fontId="59" fillId="14" borderId="30" xfId="0" applyFont="1" applyFill="1" applyBorder="1" applyAlignment="1">
      <alignment horizontal="center" vertical="top"/>
    </xf>
    <xf numFmtId="0" fontId="60" fillId="14" borderId="30" xfId="0" applyFont="1" applyFill="1" applyBorder="1"/>
    <xf numFmtId="165" fontId="44" fillId="14" borderId="30" xfId="0" applyNumberFormat="1" applyFont="1" applyFill="1" applyBorder="1"/>
    <xf numFmtId="164" fontId="44" fillId="14" borderId="30" xfId="0" applyNumberFormat="1" applyFont="1" applyFill="1" applyBorder="1"/>
    <xf numFmtId="166" fontId="51" fillId="6" borderId="18" xfId="0" applyNumberFormat="1" applyFont="1" applyFill="1" applyBorder="1" applyAlignment="1">
      <alignment horizontal="center"/>
    </xf>
    <xf numFmtId="166" fontId="51" fillId="2" borderId="1" xfId="0" applyNumberFormat="1" applyFont="1" applyFill="1" applyBorder="1" applyAlignment="1">
      <alignment horizontal="center"/>
    </xf>
    <xf numFmtId="166" fontId="51" fillId="3" borderId="1" xfId="0" applyNumberFormat="1" applyFont="1" applyFill="1" applyBorder="1" applyAlignment="1">
      <alignment horizontal="center"/>
    </xf>
    <xf numFmtId="166" fontId="51" fillId="18" borderId="1" xfId="0" applyNumberFormat="1" applyFont="1" applyFill="1" applyBorder="1" applyAlignment="1">
      <alignment horizontal="center"/>
    </xf>
    <xf numFmtId="166" fontId="51" fillId="9" borderId="1" xfId="0" applyNumberFormat="1" applyFont="1" applyFill="1" applyBorder="1" applyAlignment="1">
      <alignment horizontal="center"/>
    </xf>
    <xf numFmtId="166" fontId="51" fillId="12" borderId="1" xfId="0" applyNumberFormat="1" applyFont="1" applyFill="1" applyBorder="1" applyAlignment="1">
      <alignment horizontal="center"/>
    </xf>
    <xf numFmtId="166" fontId="61" fillId="10" borderId="1" xfId="0" applyNumberFormat="1" applyFont="1" applyFill="1" applyBorder="1" applyAlignment="1">
      <alignment horizontal="center"/>
    </xf>
    <xf numFmtId="166" fontId="51" fillId="8" borderId="1" xfId="0" applyNumberFormat="1" applyFont="1" applyFill="1" applyBorder="1" applyAlignment="1">
      <alignment horizontal="center"/>
    </xf>
    <xf numFmtId="166" fontId="61" fillId="13" borderId="1" xfId="0" applyNumberFormat="1" applyFont="1" applyFill="1" applyBorder="1" applyAlignment="1">
      <alignment horizontal="center"/>
    </xf>
    <xf numFmtId="166" fontId="61" fillId="0" borderId="0" xfId="0" applyNumberFormat="1" applyFont="1" applyBorder="1" applyAlignment="1">
      <alignment horizontal="center"/>
    </xf>
    <xf numFmtId="0" fontId="2" fillId="4" borderId="0" xfId="0" applyFont="1" applyFill="1"/>
    <xf numFmtId="164" fontId="44" fillId="3" borderId="9" xfId="0" applyNumberFormat="1" applyFont="1" applyFill="1" applyBorder="1" applyAlignment="1">
      <alignment horizontal="center"/>
    </xf>
    <xf numFmtId="0" fontId="52" fillId="0" borderId="4" xfId="0" applyFont="1" applyBorder="1"/>
    <xf numFmtId="0" fontId="52" fillId="0" borderId="1" xfId="0" applyFont="1" applyBorder="1"/>
    <xf numFmtId="0" fontId="53" fillId="0" borderId="1" xfId="0" applyFont="1" applyBorder="1" applyAlignment="1">
      <alignment horizontal="center"/>
    </xf>
    <xf numFmtId="0" fontId="53" fillId="0" borderId="1" xfId="0" applyFont="1" applyBorder="1"/>
    <xf numFmtId="165" fontId="54" fillId="0" borderId="1" xfId="0" applyNumberFormat="1" applyFont="1" applyBorder="1"/>
    <xf numFmtId="164" fontId="54" fillId="0" borderId="1" xfId="0" applyNumberFormat="1" applyFont="1" applyBorder="1"/>
    <xf numFmtId="164" fontId="54" fillId="0" borderId="9" xfId="0" applyNumberFormat="1" applyFont="1" applyBorder="1" applyAlignment="1">
      <alignment horizontal="center"/>
    </xf>
    <xf numFmtId="0" fontId="55" fillId="0" borderId="10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2" fillId="3" borderId="4" xfId="0" applyFont="1" applyFill="1" applyBorder="1"/>
    <xf numFmtId="0" fontId="52" fillId="3" borderId="1" xfId="0" applyFont="1" applyFill="1" applyBorder="1"/>
    <xf numFmtId="0" fontId="53" fillId="3" borderId="1" xfId="0" applyFont="1" applyFill="1" applyBorder="1" applyAlignment="1">
      <alignment horizontal="center"/>
    </xf>
    <xf numFmtId="0" fontId="53" fillId="3" borderId="1" xfId="0" applyFont="1" applyFill="1" applyBorder="1"/>
    <xf numFmtId="165" fontId="54" fillId="3" borderId="1" xfId="0" applyNumberFormat="1" applyFont="1" applyFill="1" applyBorder="1"/>
    <xf numFmtId="164" fontId="54" fillId="3" borderId="1" xfId="0" applyNumberFormat="1" applyFont="1" applyFill="1" applyBorder="1"/>
    <xf numFmtId="164" fontId="54" fillId="3" borderId="9" xfId="0" applyNumberFormat="1" applyFont="1" applyFill="1" applyBorder="1" applyAlignment="1">
      <alignment horizontal="center"/>
    </xf>
    <xf numFmtId="0" fontId="55" fillId="3" borderId="10" xfId="0" applyFont="1" applyFill="1" applyBorder="1" applyAlignment="1">
      <alignment horizontal="center"/>
    </xf>
    <xf numFmtId="0" fontId="54" fillId="3" borderId="5" xfId="0" applyFont="1" applyFill="1" applyBorder="1" applyAlignment="1">
      <alignment horizontal="center"/>
    </xf>
    <xf numFmtId="164" fontId="44" fillId="0" borderId="1" xfId="0" applyNumberFormat="1" applyFont="1" applyBorder="1" applyAlignment="1">
      <alignment horizontal="center"/>
    </xf>
    <xf numFmtId="164" fontId="44" fillId="0" borderId="11" xfId="0" applyNumberFormat="1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56" fillId="0" borderId="4" xfId="0" applyFont="1" applyBorder="1"/>
    <xf numFmtId="0" fontId="56" fillId="0" borderId="1" xfId="0" applyFont="1" applyBorder="1"/>
    <xf numFmtId="0" fontId="57" fillId="0" borderId="1" xfId="0" applyFont="1" applyBorder="1" applyAlignment="1">
      <alignment horizontal="center"/>
    </xf>
    <xf numFmtId="0" fontId="57" fillId="0" borderId="1" xfId="0" applyFont="1" applyBorder="1"/>
    <xf numFmtId="0" fontId="58" fillId="0" borderId="1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164" fontId="45" fillId="0" borderId="9" xfId="0" applyNumberFormat="1" applyFont="1" applyBorder="1" applyAlignment="1">
      <alignment horizontal="center"/>
    </xf>
    <xf numFmtId="0" fontId="58" fillId="5" borderId="10" xfId="0" applyFont="1" applyFill="1" applyBorder="1" applyAlignment="1">
      <alignment horizontal="center"/>
    </xf>
    <xf numFmtId="0" fontId="45" fillId="5" borderId="5" xfId="0" applyFont="1" applyFill="1" applyBorder="1" applyAlignment="1">
      <alignment horizontal="center"/>
    </xf>
    <xf numFmtId="0" fontId="58" fillId="0" borderId="10" xfId="0" applyFont="1" applyBorder="1" applyAlignment="1">
      <alignment horizontal="center"/>
    </xf>
    <xf numFmtId="0" fontId="42" fillId="5" borderId="4" xfId="0" applyFont="1" applyFill="1" applyBorder="1"/>
    <xf numFmtId="0" fontId="42" fillId="5" borderId="1" xfId="0" applyFont="1" applyFill="1" applyBorder="1"/>
    <xf numFmtId="0" fontId="43" fillId="5" borderId="1" xfId="0" applyFont="1" applyFill="1" applyBorder="1" applyAlignment="1">
      <alignment horizontal="center"/>
    </xf>
    <xf numFmtId="0" fontId="43" fillId="5" borderId="1" xfId="0" applyFont="1" applyFill="1" applyBorder="1"/>
    <xf numFmtId="165" fontId="44" fillId="5" borderId="1" xfId="0" applyNumberFormat="1" applyFont="1" applyFill="1" applyBorder="1"/>
    <xf numFmtId="164" fontId="44" fillId="5" borderId="1" xfId="0" applyNumberFormat="1" applyFont="1" applyFill="1" applyBorder="1"/>
    <xf numFmtId="164" fontId="44" fillId="5" borderId="15" xfId="0" applyNumberFormat="1" applyFont="1" applyFill="1" applyBorder="1" applyAlignment="1">
      <alignment horizontal="center"/>
    </xf>
    <xf numFmtId="164" fontId="44" fillId="5" borderId="11" xfId="0" applyNumberFormat="1" applyFont="1" applyFill="1" applyBorder="1" applyAlignment="1">
      <alignment horizontal="center"/>
    </xf>
    <xf numFmtId="0" fontId="62" fillId="21" borderId="4" xfId="0" applyFont="1" applyFill="1" applyBorder="1"/>
    <xf numFmtId="0" fontId="62" fillId="21" borderId="1" xfId="0" applyFont="1" applyFill="1" applyBorder="1"/>
    <xf numFmtId="0" fontId="63" fillId="21" borderId="1" xfId="0" applyFont="1" applyFill="1" applyBorder="1" applyAlignment="1">
      <alignment horizontal="center"/>
    </xf>
    <xf numFmtId="0" fontId="63" fillId="21" borderId="1" xfId="0" applyFont="1" applyFill="1" applyBorder="1"/>
    <xf numFmtId="165" fontId="64" fillId="21" borderId="1" xfId="0" applyNumberFormat="1" applyFont="1" applyFill="1" applyBorder="1"/>
    <xf numFmtId="164" fontId="64" fillId="21" borderId="1" xfId="0" applyNumberFormat="1" applyFont="1" applyFill="1" applyBorder="1"/>
    <xf numFmtId="164" fontId="64" fillId="21" borderId="9" xfId="0" applyNumberFormat="1" applyFont="1" applyFill="1" applyBorder="1" applyAlignment="1">
      <alignment horizontal="center"/>
    </xf>
    <xf numFmtId="0" fontId="65" fillId="21" borderId="10" xfId="0" applyFont="1" applyFill="1" applyBorder="1" applyAlignment="1">
      <alignment horizontal="center"/>
    </xf>
    <xf numFmtId="0" fontId="64" fillId="21" borderId="5" xfId="0" applyFont="1" applyFill="1" applyBorder="1" applyAlignment="1">
      <alignment horizontal="center"/>
    </xf>
    <xf numFmtId="164" fontId="66" fillId="3" borderId="1" xfId="0" applyNumberFormat="1" applyFont="1" applyFill="1" applyBorder="1"/>
    <xf numFmtId="164" fontId="66" fillId="3" borderId="9" xfId="0" applyNumberFormat="1" applyFont="1" applyFill="1" applyBorder="1" applyAlignment="1">
      <alignment horizontal="center"/>
    </xf>
    <xf numFmtId="0" fontId="67" fillId="3" borderId="10" xfId="0" applyFont="1" applyFill="1" applyBorder="1" applyAlignment="1">
      <alignment horizontal="center"/>
    </xf>
    <xf numFmtId="164" fontId="66" fillId="0" borderId="1" xfId="0" applyNumberFormat="1" applyFont="1" applyBorder="1"/>
    <xf numFmtId="164" fontId="66" fillId="0" borderId="9" xfId="0" applyNumberFormat="1" applyFont="1" applyBorder="1" applyAlignment="1">
      <alignment horizontal="center"/>
    </xf>
    <xf numFmtId="0" fontId="67" fillId="0" borderId="10" xfId="0" applyFont="1" applyBorder="1" applyAlignment="1">
      <alignment horizontal="center"/>
    </xf>
    <xf numFmtId="164" fontId="36" fillId="0" borderId="1" xfId="0" applyNumberFormat="1" applyFont="1" applyBorder="1"/>
    <xf numFmtId="164" fontId="68" fillId="0" borderId="1" xfId="0" applyNumberFormat="1" applyFont="1" applyBorder="1" applyAlignment="1">
      <alignment horizontal="center"/>
    </xf>
    <xf numFmtId="0" fontId="69" fillId="0" borderId="1" xfId="0" applyFont="1" applyBorder="1" applyAlignment="1">
      <alignment horizontal="center"/>
    </xf>
    <xf numFmtId="164" fontId="37" fillId="0" borderId="1" xfId="0" applyNumberFormat="1" applyFont="1" applyBorder="1"/>
    <xf numFmtId="164" fontId="37" fillId="0" borderId="9" xfId="0" applyNumberFormat="1" applyFont="1" applyBorder="1" applyAlignment="1">
      <alignment horizontal="center"/>
    </xf>
    <xf numFmtId="0" fontId="38" fillId="0" borderId="10" xfId="0" applyFont="1" applyBorder="1" applyAlignment="1">
      <alignment horizontal="center"/>
    </xf>
    <xf numFmtId="164" fontId="36" fillId="3" borderId="1" xfId="0" applyNumberFormat="1" applyFont="1" applyFill="1" applyBorder="1"/>
    <xf numFmtId="164" fontId="68" fillId="3" borderId="1" xfId="0" applyNumberFormat="1" applyFont="1" applyFill="1" applyBorder="1" applyAlignment="1">
      <alignment horizontal="center"/>
    </xf>
    <xf numFmtId="0" fontId="69" fillId="3" borderId="1" xfId="0" applyFont="1" applyFill="1" applyBorder="1" applyAlignment="1">
      <alignment horizontal="center"/>
    </xf>
    <xf numFmtId="164" fontId="37" fillId="3" borderId="1" xfId="0" applyNumberFormat="1" applyFont="1" applyFill="1" applyBorder="1"/>
    <xf numFmtId="164" fontId="37" fillId="3" borderId="9" xfId="0" applyNumberFormat="1" applyFont="1" applyFill="1" applyBorder="1" applyAlignment="1">
      <alignment horizontal="center"/>
    </xf>
    <xf numFmtId="0" fontId="38" fillId="3" borderId="10" xfId="0" applyFont="1" applyFill="1" applyBorder="1" applyAlignment="1">
      <alignment horizontal="center"/>
    </xf>
    <xf numFmtId="164" fontId="66" fillId="0" borderId="11" xfId="0" applyNumberFormat="1" applyFont="1" applyBorder="1" applyAlignment="1">
      <alignment horizontal="center"/>
    </xf>
    <xf numFmtId="0" fontId="66" fillId="3" borderId="1" xfId="0" applyFont="1" applyFill="1" applyBorder="1" applyAlignment="1">
      <alignment horizontal="center"/>
    </xf>
    <xf numFmtId="0" fontId="66" fillId="0" borderId="1" xfId="0" applyFont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68" fillId="3" borderId="1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/>
    </xf>
    <xf numFmtId="164" fontId="66" fillId="0" borderId="1" xfId="0" applyNumberFormat="1" applyFont="1" applyBorder="1" applyAlignment="1">
      <alignment horizontal="center"/>
    </xf>
    <xf numFmtId="0" fontId="67" fillId="0" borderId="1" xfId="0" applyFont="1" applyBorder="1" applyAlignment="1">
      <alignment horizontal="center"/>
    </xf>
    <xf numFmtId="164" fontId="36" fillId="0" borderId="1" xfId="0" applyNumberFormat="1" applyFont="1" applyBorder="1" applyAlignment="1">
      <alignment horizontal="center"/>
    </xf>
    <xf numFmtId="0" fontId="70" fillId="0" borderId="1" xfId="0" applyFont="1" applyBorder="1" applyAlignment="1">
      <alignment horizontal="center"/>
    </xf>
    <xf numFmtId="164" fontId="36" fillId="0" borderId="9" xfId="0" applyNumberFormat="1" applyFont="1" applyBorder="1" applyAlignment="1">
      <alignment horizontal="center"/>
    </xf>
    <xf numFmtId="0" fontId="70" fillId="5" borderId="10" xfId="0" applyFont="1" applyFill="1" applyBorder="1" applyAlignment="1">
      <alignment horizontal="center"/>
    </xf>
    <xf numFmtId="0" fontId="70" fillId="0" borderId="10" xfId="0" applyFont="1" applyBorder="1" applyAlignment="1">
      <alignment horizontal="center"/>
    </xf>
    <xf numFmtId="164" fontId="66" fillId="5" borderId="1" xfId="0" applyNumberFormat="1" applyFont="1" applyFill="1" applyBorder="1"/>
    <xf numFmtId="164" fontId="66" fillId="5" borderId="11" xfId="0" applyNumberFormat="1" applyFont="1" applyFill="1" applyBorder="1" applyAlignment="1">
      <alignment horizontal="center"/>
    </xf>
    <xf numFmtId="164" fontId="66" fillId="0" borderId="2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6" fillId="5" borderId="1" xfId="0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168" fontId="66" fillId="3" borderId="1" xfId="0" applyNumberFormat="1" applyFont="1" applyFill="1" applyBorder="1"/>
    <xf numFmtId="168" fontId="66" fillId="0" borderId="1" xfId="0" applyNumberFormat="1" applyFont="1" applyBorder="1"/>
    <xf numFmtId="168" fontId="36" fillId="0" borderId="1" xfId="0" applyNumberFormat="1" applyFont="1" applyBorder="1"/>
    <xf numFmtId="168" fontId="37" fillId="0" borderId="1" xfId="0" applyNumberFormat="1" applyFont="1" applyBorder="1"/>
    <xf numFmtId="168" fontId="36" fillId="3" borderId="1" xfId="0" applyNumberFormat="1" applyFont="1" applyFill="1" applyBorder="1"/>
    <xf numFmtId="168" fontId="37" fillId="3" borderId="1" xfId="0" applyNumberFormat="1" applyFont="1" applyFill="1" applyBorder="1"/>
    <xf numFmtId="168" fontId="66" fillId="5" borderId="1" xfId="0" applyNumberFormat="1" applyFont="1" applyFill="1" applyBorder="1"/>
    <xf numFmtId="168" fontId="37" fillId="2" borderId="1" xfId="0" applyNumberFormat="1" applyFont="1" applyFill="1" applyBorder="1"/>
    <xf numFmtId="168" fontId="39" fillId="9" borderId="11" xfId="0" applyNumberFormat="1" applyFont="1" applyFill="1" applyBorder="1" applyAlignment="1">
      <alignment horizontal="center"/>
    </xf>
    <xf numFmtId="168" fontId="40" fillId="0" borderId="0" xfId="0" applyNumberFormat="1" applyFont="1" applyAlignment="1">
      <alignment horizontal="center"/>
    </xf>
    <xf numFmtId="0" fontId="73" fillId="8" borderId="4" xfId="0" applyFont="1" applyFill="1" applyBorder="1"/>
    <xf numFmtId="0" fontId="73" fillId="8" borderId="1" xfId="0" applyFont="1" applyFill="1" applyBorder="1"/>
    <xf numFmtId="0" fontId="74" fillId="8" borderId="1" xfId="0" applyFont="1" applyFill="1" applyBorder="1"/>
    <xf numFmtId="165" fontId="75" fillId="8" borderId="1" xfId="0" applyNumberFormat="1" applyFont="1" applyFill="1" applyBorder="1"/>
    <xf numFmtId="164" fontId="75" fillId="8" borderId="1" xfId="0" applyNumberFormat="1" applyFont="1" applyFill="1" applyBorder="1"/>
    <xf numFmtId="164" fontId="75" fillId="8" borderId="9" xfId="0" applyNumberFormat="1" applyFont="1" applyFill="1" applyBorder="1" applyAlignment="1">
      <alignment horizontal="center"/>
    </xf>
    <xf numFmtId="0" fontId="76" fillId="8" borderId="10" xfId="0" applyFont="1" applyFill="1" applyBorder="1" applyAlignment="1">
      <alignment horizontal="center"/>
    </xf>
    <xf numFmtId="0" fontId="75" fillId="8" borderId="5" xfId="0" applyFont="1" applyFill="1" applyBorder="1" applyAlignment="1">
      <alignment horizontal="center"/>
    </xf>
    <xf numFmtId="164" fontId="77" fillId="8" borderId="1" xfId="0" applyNumberFormat="1" applyFont="1" applyFill="1" applyBorder="1"/>
    <xf numFmtId="164" fontId="77" fillId="8" borderId="9" xfId="0" applyNumberFormat="1" applyFont="1" applyFill="1" applyBorder="1" applyAlignment="1">
      <alignment horizontal="center"/>
    </xf>
    <xf numFmtId="0" fontId="78" fillId="8" borderId="10" xfId="0" applyFont="1" applyFill="1" applyBorder="1" applyAlignment="1">
      <alignment horizontal="center"/>
    </xf>
    <xf numFmtId="0" fontId="77" fillId="8" borderId="1" xfId="0" applyFont="1" applyFill="1" applyBorder="1" applyAlignment="1">
      <alignment horizontal="center"/>
    </xf>
    <xf numFmtId="168" fontId="77" fillId="8" borderId="1" xfId="0" applyNumberFormat="1" applyFont="1" applyFill="1" applyBorder="1"/>
    <xf numFmtId="166" fontId="1" fillId="11" borderId="10" xfId="0" applyNumberFormat="1" applyFont="1" applyFill="1" applyBorder="1" applyAlignment="1">
      <alignment horizontal="center"/>
    </xf>
    <xf numFmtId="166" fontId="1" fillId="22" borderId="10" xfId="0" applyNumberFormat="1" applyFont="1" applyFill="1" applyBorder="1" applyAlignment="1">
      <alignment horizontal="center"/>
    </xf>
    <xf numFmtId="0" fontId="62" fillId="8" borderId="4" xfId="0" applyFont="1" applyFill="1" applyBorder="1"/>
    <xf numFmtId="0" fontId="62" fillId="8" borderId="1" xfId="0" applyFont="1" applyFill="1" applyBorder="1"/>
    <xf numFmtId="0" fontId="63" fillId="8" borderId="1" xfId="0" applyFont="1" applyFill="1" applyBorder="1" applyAlignment="1">
      <alignment horizontal="center"/>
    </xf>
    <xf numFmtId="0" fontId="63" fillId="8" borderId="1" xfId="0" applyFont="1" applyFill="1" applyBorder="1"/>
    <xf numFmtId="165" fontId="64" fillId="8" borderId="1" xfId="0" applyNumberFormat="1" applyFont="1" applyFill="1" applyBorder="1"/>
    <xf numFmtId="164" fontId="64" fillId="8" borderId="1" xfId="0" applyNumberFormat="1" applyFont="1" applyFill="1" applyBorder="1"/>
    <xf numFmtId="164" fontId="64" fillId="8" borderId="9" xfId="0" applyNumberFormat="1" applyFont="1" applyFill="1" applyBorder="1" applyAlignment="1">
      <alignment horizontal="center"/>
    </xf>
    <xf numFmtId="0" fontId="65" fillId="8" borderId="10" xfId="0" applyFont="1" applyFill="1" applyBorder="1" applyAlignment="1">
      <alignment horizontal="center"/>
    </xf>
    <xf numFmtId="0" fontId="64" fillId="8" borderId="5" xfId="0" applyFont="1" applyFill="1" applyBorder="1" applyAlignment="1">
      <alignment horizontal="center"/>
    </xf>
    <xf numFmtId="0" fontId="52" fillId="2" borderId="6" xfId="0" applyFont="1" applyFill="1" applyBorder="1"/>
    <xf numFmtId="0" fontId="52" fillId="2" borderId="7" xfId="0" applyFont="1" applyFill="1" applyBorder="1"/>
    <xf numFmtId="0" fontId="53" fillId="2" borderId="7" xfId="0" applyFont="1" applyFill="1" applyBorder="1" applyAlignment="1">
      <alignment horizontal="center"/>
    </xf>
    <xf numFmtId="0" fontId="53" fillId="2" borderId="7" xfId="0" applyFont="1" applyFill="1" applyBorder="1"/>
    <xf numFmtId="165" fontId="54" fillId="2" borderId="7" xfId="0" applyNumberFormat="1" applyFont="1" applyFill="1" applyBorder="1"/>
    <xf numFmtId="164" fontId="54" fillId="2" borderId="7" xfId="0" applyNumberFormat="1" applyFont="1" applyFill="1" applyBorder="1"/>
    <xf numFmtId="164" fontId="54" fillId="2" borderId="14" xfId="0" applyNumberFormat="1" applyFont="1" applyFill="1" applyBorder="1" applyAlignment="1">
      <alignment horizontal="center"/>
    </xf>
    <xf numFmtId="164" fontId="45" fillId="0" borderId="19" xfId="0" applyNumberFormat="1" applyFont="1" applyBorder="1" applyAlignment="1">
      <alignment horizontal="center"/>
    </xf>
    <xf numFmtId="0" fontId="55" fillId="2" borderId="16" xfId="0" applyFont="1" applyFill="1" applyBorder="1" applyAlignment="1">
      <alignment horizontal="center"/>
    </xf>
    <xf numFmtId="0" fontId="54" fillId="2" borderId="8" xfId="0" applyFont="1" applyFill="1" applyBorder="1" applyAlignment="1">
      <alignment horizontal="center"/>
    </xf>
    <xf numFmtId="164" fontId="66" fillId="3" borderId="3" xfId="0" applyNumberFormat="1" applyFont="1" applyFill="1" applyBorder="1"/>
    <xf numFmtId="164" fontId="66" fillId="3" borderId="15" xfId="0" applyNumberFormat="1" applyFont="1" applyFill="1" applyBorder="1" applyAlignment="1">
      <alignment horizontal="center"/>
    </xf>
    <xf numFmtId="0" fontId="67" fillId="3" borderId="17" xfId="0" applyFont="1" applyFill="1" applyBorder="1" applyAlignment="1">
      <alignment horizontal="center"/>
    </xf>
    <xf numFmtId="0" fontId="66" fillId="3" borderId="3" xfId="0" applyFont="1" applyFill="1" applyBorder="1" applyAlignment="1">
      <alignment horizontal="center"/>
    </xf>
    <xf numFmtId="168" fontId="66" fillId="3" borderId="3" xfId="0" applyNumberFormat="1" applyFont="1" applyFill="1" applyBorder="1"/>
    <xf numFmtId="164" fontId="81" fillId="0" borderId="11" xfId="0" applyNumberFormat="1" applyFont="1" applyBorder="1" applyAlignment="1">
      <alignment horizontal="center"/>
    </xf>
    <xf numFmtId="0" fontId="79" fillId="0" borderId="12" xfId="0" applyFont="1" applyBorder="1"/>
    <xf numFmtId="0" fontId="79" fillId="0" borderId="3" xfId="0" applyFont="1" applyBorder="1"/>
    <xf numFmtId="0" fontId="80" fillId="0" borderId="3" xfId="0" applyFont="1" applyBorder="1" applyAlignment="1">
      <alignment horizontal="center"/>
    </xf>
    <xf numFmtId="0" fontId="80" fillId="0" borderId="3" xfId="0" applyFont="1" applyBorder="1"/>
    <xf numFmtId="165" fontId="81" fillId="0" borderId="3" xfId="0" applyNumberFormat="1" applyFont="1" applyBorder="1"/>
    <xf numFmtId="164" fontId="81" fillId="0" borderId="3" xfId="0" applyNumberFormat="1" applyFont="1" applyBorder="1"/>
    <xf numFmtId="0" fontId="79" fillId="3" borderId="12" xfId="0" applyFont="1" applyFill="1" applyBorder="1"/>
    <xf numFmtId="0" fontId="79" fillId="3" borderId="3" xfId="0" applyFont="1" applyFill="1" applyBorder="1"/>
    <xf numFmtId="0" fontId="80" fillId="3" borderId="3" xfId="0" applyFont="1" applyFill="1" applyBorder="1" applyAlignment="1">
      <alignment horizontal="center"/>
    </xf>
    <xf numFmtId="0" fontId="80" fillId="3" borderId="3" xfId="0" applyFont="1" applyFill="1" applyBorder="1"/>
    <xf numFmtId="165" fontId="81" fillId="3" borderId="3" xfId="0" applyNumberFormat="1" applyFont="1" applyFill="1" applyBorder="1"/>
    <xf numFmtId="164" fontId="81" fillId="3" borderId="3" xfId="0" applyNumberFormat="1" applyFont="1" applyFill="1" applyBorder="1"/>
    <xf numFmtId="164" fontId="81" fillId="23" borderId="15" xfId="0" applyNumberFormat="1" applyFont="1" applyFill="1" applyBorder="1" applyAlignment="1">
      <alignment horizontal="center"/>
    </xf>
    <xf numFmtId="0" fontId="82" fillId="23" borderId="17" xfId="0" applyFont="1" applyFill="1" applyBorder="1" applyAlignment="1">
      <alignment horizontal="center"/>
    </xf>
    <xf numFmtId="0" fontId="81" fillId="23" borderId="13" xfId="0" applyFont="1" applyFill="1" applyBorder="1" applyAlignment="1">
      <alignment horizontal="center"/>
    </xf>
    <xf numFmtId="0" fontId="10" fillId="2" borderId="2" xfId="0" applyFont="1" applyFill="1" applyBorder="1"/>
    <xf numFmtId="0" fontId="7" fillId="2" borderId="2" xfId="0" applyFont="1" applyFill="1" applyBorder="1"/>
    <xf numFmtId="165" fontId="8" fillId="2" borderId="2" xfId="0" applyNumberFormat="1" applyFont="1" applyFill="1" applyBorder="1"/>
    <xf numFmtId="164" fontId="8" fillId="2" borderId="2" xfId="0" applyNumberFormat="1" applyFont="1" applyFill="1" applyBorder="1"/>
    <xf numFmtId="164" fontId="8" fillId="2" borderId="28" xfId="0" applyNumberFormat="1" applyFont="1" applyFill="1" applyBorder="1" applyAlignment="1">
      <alignment horizontal="center"/>
    </xf>
    <xf numFmtId="0" fontId="6" fillId="2" borderId="33" xfId="0" applyFont="1" applyFill="1" applyBorder="1" applyAlignment="1">
      <alignment horizontal="center"/>
    </xf>
    <xf numFmtId="0" fontId="8" fillId="2" borderId="34" xfId="0" applyFont="1" applyFill="1" applyBorder="1" applyAlignment="1">
      <alignment horizontal="center"/>
    </xf>
    <xf numFmtId="0" fontId="13" fillId="14" borderId="35" xfId="0" applyFont="1" applyFill="1" applyBorder="1"/>
    <xf numFmtId="0" fontId="15" fillId="14" borderId="35" xfId="0" applyFont="1" applyFill="1" applyBorder="1" applyAlignment="1">
      <alignment horizontal="center" vertical="top"/>
    </xf>
    <xf numFmtId="0" fontId="16" fillId="14" borderId="35" xfId="0" applyFont="1" applyFill="1" applyBorder="1"/>
    <xf numFmtId="165" fontId="3" fillId="14" borderId="35" xfId="0" applyNumberFormat="1" applyFont="1" applyFill="1" applyBorder="1"/>
    <xf numFmtId="164" fontId="3" fillId="14" borderId="35" xfId="0" applyNumberFormat="1" applyFont="1" applyFill="1" applyBorder="1"/>
    <xf numFmtId="164" fontId="9" fillId="14" borderId="35" xfId="0" applyNumberFormat="1" applyFont="1" applyFill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0" fontId="2" fillId="5" borderId="36" xfId="0" applyFont="1" applyFill="1" applyBorder="1" applyAlignment="1">
      <alignment horizontal="center"/>
    </xf>
    <xf numFmtId="0" fontId="18" fillId="5" borderId="32" xfId="0" applyFont="1" applyFill="1" applyBorder="1" applyAlignment="1">
      <alignment horizontal="right"/>
    </xf>
    <xf numFmtId="164" fontId="81" fillId="23" borderId="1" xfId="0" applyNumberFormat="1" applyFont="1" applyFill="1" applyBorder="1" applyAlignment="1">
      <alignment horizontal="center"/>
    </xf>
    <xf numFmtId="0" fontId="82" fillId="23" borderId="1" xfId="0" applyFont="1" applyFill="1" applyBorder="1" applyAlignment="1">
      <alignment horizontal="center"/>
    </xf>
    <xf numFmtId="0" fontId="79" fillId="23" borderId="1" xfId="0" applyFont="1" applyFill="1" applyBorder="1"/>
    <xf numFmtId="0" fontId="80" fillId="23" borderId="1" xfId="0" applyFont="1" applyFill="1" applyBorder="1" applyAlignment="1">
      <alignment horizontal="center"/>
    </xf>
    <xf numFmtId="0" fontId="80" fillId="23" borderId="1" xfId="0" applyFont="1" applyFill="1" applyBorder="1"/>
    <xf numFmtId="165" fontId="81" fillId="23" borderId="1" xfId="0" applyNumberFormat="1" applyFont="1" applyFill="1" applyBorder="1"/>
    <xf numFmtId="164" fontId="81" fillId="23" borderId="1" xfId="0" applyNumberFormat="1" applyFont="1" applyFill="1" applyBorder="1"/>
    <xf numFmtId="0" fontId="79" fillId="23" borderId="12" xfId="0" applyFont="1" applyFill="1" applyBorder="1"/>
    <xf numFmtId="0" fontId="13" fillId="14" borderId="28" xfId="0" applyFont="1" applyFill="1" applyBorder="1"/>
    <xf numFmtId="0" fontId="13" fillId="14" borderId="31" xfId="0" applyFont="1" applyFill="1" applyBorder="1"/>
    <xf numFmtId="0" fontId="15" fillId="14" borderId="31" xfId="0" applyFont="1" applyFill="1" applyBorder="1" applyAlignment="1">
      <alignment horizontal="center" vertical="top"/>
    </xf>
    <xf numFmtId="0" fontId="16" fillId="14" borderId="31" xfId="0" applyFont="1" applyFill="1" applyBorder="1"/>
    <xf numFmtId="165" fontId="3" fillId="14" borderId="31" xfId="0" applyNumberFormat="1" applyFont="1" applyFill="1" applyBorder="1"/>
    <xf numFmtId="164" fontId="3" fillId="14" borderId="31" xfId="0" applyNumberFormat="1" applyFont="1" applyFill="1" applyBorder="1"/>
    <xf numFmtId="164" fontId="9" fillId="14" borderId="31" xfId="0" applyNumberFormat="1" applyFont="1" applyFill="1" applyBorder="1" applyAlignment="1">
      <alignment horizontal="center"/>
    </xf>
    <xf numFmtId="164" fontId="9" fillId="0" borderId="33" xfId="0" applyNumberFormat="1" applyFont="1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18" fillId="5" borderId="38" xfId="0" applyFont="1" applyFill="1" applyBorder="1" applyAlignment="1">
      <alignment horizontal="right"/>
    </xf>
    <xf numFmtId="0" fontId="13" fillId="14" borderId="15" xfId="0" applyFont="1" applyFill="1" applyBorder="1"/>
    <xf numFmtId="0" fontId="79" fillId="3" borderId="39" xfId="0" applyFont="1" applyFill="1" applyBorder="1"/>
    <xf numFmtId="0" fontId="79" fillId="3" borderId="40" xfId="0" applyFont="1" applyFill="1" applyBorder="1"/>
    <xf numFmtId="0" fontId="80" fillId="3" borderId="40" xfId="0" applyFont="1" applyFill="1" applyBorder="1" applyAlignment="1">
      <alignment horizontal="center"/>
    </xf>
    <xf numFmtId="0" fontId="80" fillId="3" borderId="40" xfId="0" applyFont="1" applyFill="1" applyBorder="1"/>
    <xf numFmtId="165" fontId="81" fillId="3" borderId="40" xfId="0" applyNumberFormat="1" applyFont="1" applyFill="1" applyBorder="1"/>
    <xf numFmtId="164" fontId="81" fillId="3" borderId="40" xfId="0" applyNumberFormat="1" applyFont="1" applyFill="1" applyBorder="1"/>
    <xf numFmtId="164" fontId="81" fillId="23" borderId="41" xfId="0" applyNumberFormat="1" applyFont="1" applyFill="1" applyBorder="1" applyAlignment="1">
      <alignment horizontal="center"/>
    </xf>
    <xf numFmtId="164" fontId="81" fillId="0" borderId="26" xfId="0" applyNumberFormat="1" applyFont="1" applyBorder="1" applyAlignment="1">
      <alignment horizontal="center"/>
    </xf>
    <xf numFmtId="0" fontId="82" fillId="23" borderId="42" xfId="0" applyFont="1" applyFill="1" applyBorder="1" applyAlignment="1">
      <alignment horizontal="center"/>
    </xf>
    <xf numFmtId="0" fontId="81" fillId="23" borderId="43" xfId="0" applyFont="1" applyFill="1" applyBorder="1" applyAlignment="1">
      <alignment horizontal="center"/>
    </xf>
    <xf numFmtId="0" fontId="79" fillId="23" borderId="4" xfId="0" applyFont="1" applyFill="1" applyBorder="1"/>
    <xf numFmtId="0" fontId="81" fillId="23" borderId="5" xfId="0" applyFont="1" applyFill="1" applyBorder="1" applyAlignment="1">
      <alignment horizontal="center"/>
    </xf>
    <xf numFmtId="0" fontId="79" fillId="23" borderId="44" xfId="0" applyFont="1" applyFill="1" applyBorder="1"/>
    <xf numFmtId="0" fontId="79" fillId="23" borderId="7" xfId="0" applyFont="1" applyFill="1" applyBorder="1"/>
    <xf numFmtId="0" fontId="80" fillId="23" borderId="7" xfId="0" applyFont="1" applyFill="1" applyBorder="1" applyAlignment="1">
      <alignment horizontal="center"/>
    </xf>
    <xf numFmtId="0" fontId="80" fillId="23" borderId="7" xfId="0" applyFont="1" applyFill="1" applyBorder="1"/>
    <xf numFmtId="165" fontId="81" fillId="23" borderId="7" xfId="0" applyNumberFormat="1" applyFont="1" applyFill="1" applyBorder="1"/>
    <xf numFmtId="164" fontId="81" fillId="23" borderId="7" xfId="0" applyNumberFormat="1" applyFont="1" applyFill="1" applyBorder="1"/>
    <xf numFmtId="164" fontId="81" fillId="23" borderId="7" xfId="0" applyNumberFormat="1" applyFont="1" applyFill="1" applyBorder="1" applyAlignment="1">
      <alignment horizontal="center"/>
    </xf>
    <xf numFmtId="0" fontId="82" fillId="23" borderId="7" xfId="0" applyFont="1" applyFill="1" applyBorder="1" applyAlignment="1">
      <alignment horizontal="center"/>
    </xf>
    <xf numFmtId="0" fontId="81" fillId="23" borderId="8" xfId="0" applyFont="1" applyFill="1" applyBorder="1" applyAlignment="1">
      <alignment horizontal="center"/>
    </xf>
    <xf numFmtId="164" fontId="83" fillId="0" borderId="3" xfId="0" applyNumberFormat="1" applyFont="1" applyBorder="1"/>
    <xf numFmtId="164" fontId="83" fillId="23" borderId="15" xfId="0" applyNumberFormat="1" applyFont="1" applyFill="1" applyBorder="1" applyAlignment="1">
      <alignment horizontal="center"/>
    </xf>
    <xf numFmtId="164" fontId="83" fillId="0" borderId="11" xfId="0" applyNumberFormat="1" applyFont="1" applyBorder="1" applyAlignment="1">
      <alignment horizontal="center"/>
    </xf>
    <xf numFmtId="0" fontId="84" fillId="23" borderId="17" xfId="0" applyFont="1" applyFill="1" applyBorder="1" applyAlignment="1">
      <alignment horizontal="center"/>
    </xf>
    <xf numFmtId="164" fontId="83" fillId="3" borderId="3" xfId="0" applyNumberFormat="1" applyFont="1" applyFill="1" applyBorder="1"/>
    <xf numFmtId="164" fontId="83" fillId="3" borderId="1" xfId="0" applyNumberFormat="1" applyFont="1" applyFill="1" applyBorder="1"/>
    <xf numFmtId="164" fontId="83" fillId="23" borderId="9" xfId="0" applyNumberFormat="1" applyFont="1" applyFill="1" applyBorder="1" applyAlignment="1">
      <alignment horizontal="center"/>
    </xf>
    <xf numFmtId="164" fontId="83" fillId="0" borderId="2" xfId="0" applyNumberFormat="1" applyFont="1" applyBorder="1" applyAlignment="1">
      <alignment horizontal="center"/>
    </xf>
    <xf numFmtId="0" fontId="84" fillId="23" borderId="10" xfId="0" applyFont="1" applyFill="1" applyBorder="1" applyAlignment="1">
      <alignment horizontal="center"/>
    </xf>
    <xf numFmtId="0" fontId="83" fillId="23" borderId="1" xfId="0" applyFont="1" applyFill="1" applyBorder="1" applyAlignment="1">
      <alignment horizontal="center"/>
    </xf>
    <xf numFmtId="0" fontId="83" fillId="23" borderId="3" xfId="0" applyFont="1" applyFill="1" applyBorder="1" applyAlignment="1">
      <alignment horizontal="center"/>
    </xf>
    <xf numFmtId="164" fontId="37" fillId="2" borderId="2" xfId="0" applyNumberFormat="1" applyFont="1" applyFill="1" applyBorder="1"/>
    <xf numFmtId="164" fontId="37" fillId="2" borderId="28" xfId="0" applyNumberFormat="1" applyFont="1" applyFill="1" applyBorder="1" applyAlignment="1">
      <alignment horizontal="center"/>
    </xf>
    <xf numFmtId="0" fontId="38" fillId="2" borderId="33" xfId="0" applyFont="1" applyFill="1" applyBorder="1" applyAlignment="1">
      <alignment horizontal="center"/>
    </xf>
    <xf numFmtId="164" fontId="83" fillId="23" borderId="1" xfId="0" applyNumberFormat="1" applyFont="1" applyFill="1" applyBorder="1"/>
    <xf numFmtId="164" fontId="83" fillId="23" borderId="1" xfId="0" applyNumberFormat="1" applyFont="1" applyFill="1" applyBorder="1" applyAlignment="1">
      <alignment horizontal="center"/>
    </xf>
    <xf numFmtId="0" fontId="84" fillId="23" borderId="1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center"/>
    </xf>
    <xf numFmtId="168" fontId="83" fillId="3" borderId="1" xfId="0" applyNumberFormat="1" applyFont="1" applyFill="1" applyBorder="1"/>
    <xf numFmtId="168" fontId="83" fillId="0" borderId="3" xfId="0" applyNumberFormat="1" applyFont="1" applyBorder="1"/>
    <xf numFmtId="168" fontId="83" fillId="3" borderId="3" xfId="0" applyNumberFormat="1" applyFont="1" applyFill="1" applyBorder="1"/>
    <xf numFmtId="168" fontId="37" fillId="2" borderId="2" xfId="0" applyNumberFormat="1" applyFont="1" applyFill="1" applyBorder="1"/>
    <xf numFmtId="168" fontId="83" fillId="23" borderId="1" xfId="0" applyNumberFormat="1" applyFont="1" applyFill="1" applyBorder="1"/>
    <xf numFmtId="168" fontId="41" fillId="20" borderId="9" xfId="0" applyNumberFormat="1" applyFont="1" applyFill="1" applyBorder="1"/>
    <xf numFmtId="168" fontId="41" fillId="20" borderId="30" xfId="0" applyNumberFormat="1" applyFont="1" applyFill="1" applyBorder="1"/>
    <xf numFmtId="168" fontId="41" fillId="20" borderId="10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7FA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385"/>
  <sheetViews>
    <sheetView zoomScaleNormal="100" zoomScaleSheetLayoutView="100" workbookViewId="0">
      <pane ySplit="2" topLeftCell="A141" activePane="bottomLeft" state="frozen"/>
      <selection pane="bottomLeft" activeCell="E163" sqref="E163:J181"/>
    </sheetView>
  </sheetViews>
  <sheetFormatPr defaultRowHeight="15" x14ac:dyDescent="0.25"/>
  <cols>
    <col min="1" max="2" width="10.140625" style="6" customWidth="1"/>
    <col min="3" max="3" width="3.5703125" style="29" customWidth="1"/>
    <col min="4" max="4" width="13.140625" style="5" customWidth="1"/>
    <col min="5" max="5" width="12.28515625" style="38" bestFit="1" customWidth="1"/>
    <col min="6" max="6" width="10.140625" style="192" customWidth="1"/>
    <col min="7" max="7" width="9" style="212" customWidth="1"/>
    <col min="8" max="8" width="9.7109375" style="213" customWidth="1"/>
    <col min="9" max="9" width="6.28515625" style="44" customWidth="1"/>
    <col min="10" max="10" width="7.42578125" style="48" customWidth="1"/>
    <col min="11" max="11" width="4.42578125" style="4" hidden="1" customWidth="1"/>
    <col min="12" max="12" width="9.140625" hidden="1" customWidth="1"/>
    <col min="13" max="13" width="7.5703125" style="44" customWidth="1"/>
    <col min="14" max="14" width="4.85546875" style="41" customWidth="1"/>
    <col min="15" max="39" width="4.85546875" style="40" customWidth="1"/>
    <col min="41" max="41" width="20.85546875" customWidth="1"/>
    <col min="42" max="42" width="7.5703125" bestFit="1" customWidth="1"/>
    <col min="43" max="43" width="5.85546875" customWidth="1"/>
  </cols>
  <sheetData>
    <row r="1" spans="1:43" s="44" customFormat="1" ht="41.25" thickBot="1" x14ac:dyDescent="0.3">
      <c r="A1" s="73" t="s">
        <v>30</v>
      </c>
      <c r="B1" s="74" t="s">
        <v>29</v>
      </c>
      <c r="C1" s="74" t="s">
        <v>27</v>
      </c>
      <c r="D1" s="74" t="s">
        <v>26</v>
      </c>
      <c r="E1" s="75" t="s">
        <v>0</v>
      </c>
      <c r="F1" s="179" t="s">
        <v>1</v>
      </c>
      <c r="G1" s="76" t="s">
        <v>4</v>
      </c>
      <c r="H1" s="76" t="s">
        <v>5</v>
      </c>
      <c r="I1" s="74" t="s">
        <v>2</v>
      </c>
      <c r="J1" s="77" t="s">
        <v>3</v>
      </c>
      <c r="K1" s="30" t="s">
        <v>25</v>
      </c>
      <c r="L1" s="48"/>
      <c r="M1" s="78" t="s">
        <v>33</v>
      </c>
      <c r="N1" s="79" t="s">
        <v>31</v>
      </c>
      <c r="O1" s="80" t="s">
        <v>19</v>
      </c>
      <c r="P1" s="80" t="s">
        <v>18</v>
      </c>
      <c r="Q1" s="80" t="s">
        <v>22</v>
      </c>
      <c r="R1" s="81" t="s">
        <v>24</v>
      </c>
      <c r="S1" s="81" t="s">
        <v>20</v>
      </c>
      <c r="T1" s="81" t="s">
        <v>73</v>
      </c>
      <c r="U1" s="81" t="s">
        <v>104</v>
      </c>
      <c r="V1" s="112" t="s">
        <v>21</v>
      </c>
      <c r="W1" s="83" t="s">
        <v>102</v>
      </c>
      <c r="X1" s="83" t="s">
        <v>23</v>
      </c>
      <c r="Y1" s="83" t="s">
        <v>77</v>
      </c>
      <c r="Z1" s="83" t="s">
        <v>28</v>
      </c>
      <c r="AA1" s="84" t="s">
        <v>74</v>
      </c>
      <c r="AB1" s="84" t="s">
        <v>75</v>
      </c>
      <c r="AC1" s="84" t="s">
        <v>106</v>
      </c>
      <c r="AD1" s="84" t="s">
        <v>107</v>
      </c>
      <c r="AE1" s="84" t="s">
        <v>108</v>
      </c>
      <c r="AF1" s="82" t="s">
        <v>192</v>
      </c>
      <c r="AG1" s="82" t="s">
        <v>105</v>
      </c>
      <c r="AH1" s="82" t="s">
        <v>112</v>
      </c>
      <c r="AI1" s="82" t="s">
        <v>193</v>
      </c>
      <c r="AJ1" s="82" t="s">
        <v>103</v>
      </c>
      <c r="AK1" s="85" t="s">
        <v>109</v>
      </c>
      <c r="AL1" s="85" t="s">
        <v>110</v>
      </c>
      <c r="AM1" s="85" t="s">
        <v>111</v>
      </c>
      <c r="AP1" s="44" t="s">
        <v>3</v>
      </c>
    </row>
    <row r="2" spans="1:43" ht="13.5" customHeight="1" thickBot="1" x14ac:dyDescent="0.3">
      <c r="A2" s="93"/>
      <c r="B2" s="94"/>
      <c r="C2" s="95"/>
      <c r="D2" s="96"/>
      <c r="E2" s="97"/>
      <c r="F2" s="180"/>
      <c r="G2" s="193"/>
      <c r="H2" s="194"/>
      <c r="I2" s="152"/>
      <c r="J2" s="45" t="s">
        <v>114</v>
      </c>
      <c r="K2" s="3"/>
      <c r="M2" s="98">
        <f t="shared" ref="M2:AM2" si="0">SUM(M3:M1015)/2</f>
        <v>15875</v>
      </c>
      <c r="N2" s="99">
        <f t="shared" si="0"/>
        <v>1980</v>
      </c>
      <c r="O2" s="100">
        <f t="shared" si="0"/>
        <v>1140</v>
      </c>
      <c r="P2" s="100">
        <f t="shared" si="0"/>
        <v>1755</v>
      </c>
      <c r="Q2" s="100">
        <f t="shared" si="0"/>
        <v>505</v>
      </c>
      <c r="R2" s="100">
        <f t="shared" si="0"/>
        <v>440</v>
      </c>
      <c r="S2" s="100">
        <f t="shared" si="0"/>
        <v>1670</v>
      </c>
      <c r="T2" s="100">
        <f t="shared" si="0"/>
        <v>800</v>
      </c>
      <c r="U2" s="100">
        <f t="shared" si="0"/>
        <v>835</v>
      </c>
      <c r="V2" s="113">
        <f t="shared" si="0"/>
        <v>1330</v>
      </c>
      <c r="W2" s="102">
        <f t="shared" si="0"/>
        <v>700</v>
      </c>
      <c r="X2" s="102">
        <f t="shared" si="0"/>
        <v>720</v>
      </c>
      <c r="Y2" s="102">
        <f t="shared" si="0"/>
        <v>295</v>
      </c>
      <c r="Z2" s="102">
        <f t="shared" si="0"/>
        <v>425</v>
      </c>
      <c r="AA2" s="103">
        <f t="shared" si="0"/>
        <v>400</v>
      </c>
      <c r="AB2" s="103">
        <f t="shared" si="0"/>
        <v>540</v>
      </c>
      <c r="AC2" s="103">
        <f t="shared" si="0"/>
        <v>1370</v>
      </c>
      <c r="AD2" s="103">
        <f t="shared" si="0"/>
        <v>570</v>
      </c>
      <c r="AE2" s="103">
        <f t="shared" si="0"/>
        <v>350</v>
      </c>
      <c r="AF2" s="101">
        <f t="shared" si="0"/>
        <v>0</v>
      </c>
      <c r="AG2" s="101">
        <f t="shared" si="0"/>
        <v>0</v>
      </c>
      <c r="AH2" s="101">
        <f t="shared" si="0"/>
        <v>0</v>
      </c>
      <c r="AI2" s="101">
        <f t="shared" si="0"/>
        <v>0</v>
      </c>
      <c r="AJ2" s="101">
        <f t="shared" si="0"/>
        <v>0</v>
      </c>
      <c r="AK2" s="104">
        <f t="shared" si="0"/>
        <v>0</v>
      </c>
      <c r="AL2" s="104">
        <f t="shared" si="0"/>
        <v>0</v>
      </c>
      <c r="AM2" s="104">
        <f t="shared" si="0"/>
        <v>50</v>
      </c>
      <c r="AN2" s="105">
        <f>SUM(N2:AM2)</f>
        <v>15875</v>
      </c>
      <c r="AO2" s="111" t="s">
        <v>117</v>
      </c>
    </row>
    <row r="3" spans="1:43" s="61" customFormat="1" x14ac:dyDescent="0.25">
      <c r="A3" s="218" t="s">
        <v>89</v>
      </c>
      <c r="B3" s="219" t="s">
        <v>90</v>
      </c>
      <c r="C3" s="220">
        <v>1</v>
      </c>
      <c r="D3" s="221" t="s">
        <v>91</v>
      </c>
      <c r="E3" s="222">
        <v>46073</v>
      </c>
      <c r="F3" s="223">
        <v>0.6875</v>
      </c>
      <c r="G3" s="224" t="s">
        <v>137</v>
      </c>
      <c r="H3" s="225"/>
      <c r="I3" s="226" t="s">
        <v>186</v>
      </c>
      <c r="J3" s="227" t="s">
        <v>188</v>
      </c>
      <c r="K3" s="228">
        <f t="shared" ref="K3:K15" si="1">WEEKDAY(E3)</f>
        <v>6</v>
      </c>
      <c r="L3" s="61">
        <f t="shared" ref="L3:L50" si="2">IF(G3=L$1,1,IF(H3=L$1,1,""))</f>
        <v>1</v>
      </c>
      <c r="M3" s="229">
        <f t="shared" ref="M3:M42" si="3">SUM(N3:AM3)</f>
        <v>0</v>
      </c>
      <c r="N3" s="230">
        <f>IF(G3 &lt;&gt; "Cancel",IF(H3&lt;&gt;"",20,10),0)</f>
        <v>0</v>
      </c>
      <c r="O3" s="229">
        <f t="shared" ref="O3:X12" si="4">IF($G3=O$1,VLOOKUP($J3,$AP:$AQ,2,FALSE),IF($H3=O$1,70,0))</f>
        <v>0</v>
      </c>
      <c r="P3" s="229">
        <f t="shared" si="4"/>
        <v>0</v>
      </c>
      <c r="Q3" s="229">
        <f t="shared" si="4"/>
        <v>0</v>
      </c>
      <c r="R3" s="229">
        <f t="shared" si="4"/>
        <v>0</v>
      </c>
      <c r="S3" s="229">
        <f t="shared" si="4"/>
        <v>0</v>
      </c>
      <c r="T3" s="229">
        <f t="shared" si="4"/>
        <v>0</v>
      </c>
      <c r="U3" s="229">
        <f t="shared" si="4"/>
        <v>0</v>
      </c>
      <c r="V3" s="229">
        <f t="shared" si="4"/>
        <v>0</v>
      </c>
      <c r="W3" s="229">
        <f t="shared" si="4"/>
        <v>0</v>
      </c>
      <c r="X3" s="229">
        <f t="shared" si="4"/>
        <v>0</v>
      </c>
      <c r="Y3" s="229">
        <f t="shared" ref="Y3:AM12" si="5">IF($G3=Y$1,VLOOKUP($J3,$AP:$AQ,2,FALSE),IF($H3=Y$1,70,0))</f>
        <v>0</v>
      </c>
      <c r="Z3" s="229">
        <f t="shared" si="5"/>
        <v>0</v>
      </c>
      <c r="AA3" s="229">
        <f t="shared" si="5"/>
        <v>0</v>
      </c>
      <c r="AB3" s="229">
        <f t="shared" si="5"/>
        <v>0</v>
      </c>
      <c r="AC3" s="229">
        <f t="shared" si="5"/>
        <v>0</v>
      </c>
      <c r="AD3" s="229">
        <f t="shared" si="5"/>
        <v>0</v>
      </c>
      <c r="AE3" s="229">
        <f t="shared" si="5"/>
        <v>0</v>
      </c>
      <c r="AF3" s="229">
        <f t="shared" si="5"/>
        <v>0</v>
      </c>
      <c r="AG3" s="229">
        <f t="shared" si="5"/>
        <v>0</v>
      </c>
      <c r="AH3" s="229">
        <f t="shared" si="5"/>
        <v>0</v>
      </c>
      <c r="AI3" s="229">
        <f t="shared" si="5"/>
        <v>0</v>
      </c>
      <c r="AJ3" s="229">
        <f t="shared" si="5"/>
        <v>0</v>
      </c>
      <c r="AK3" s="229">
        <f t="shared" si="5"/>
        <v>0</v>
      </c>
      <c r="AL3" s="229">
        <f t="shared" si="5"/>
        <v>0</v>
      </c>
      <c r="AM3" s="229">
        <f t="shared" si="5"/>
        <v>0</v>
      </c>
      <c r="AP3" s="61" t="s">
        <v>188</v>
      </c>
      <c r="AQ3" s="61">
        <v>75</v>
      </c>
    </row>
    <row r="4" spans="1:43" s="61" customFormat="1" x14ac:dyDescent="0.25">
      <c r="A4" s="231" t="s">
        <v>92</v>
      </c>
      <c r="B4" s="232" t="s">
        <v>93</v>
      </c>
      <c r="C4" s="233">
        <v>1</v>
      </c>
      <c r="D4" s="234" t="s">
        <v>91</v>
      </c>
      <c r="E4" s="235">
        <v>46073</v>
      </c>
      <c r="F4" s="236">
        <v>0.79166666666666663</v>
      </c>
      <c r="G4" s="224" t="s">
        <v>137</v>
      </c>
      <c r="H4" s="237" t="s">
        <v>137</v>
      </c>
      <c r="I4" s="238" t="s">
        <v>186</v>
      </c>
      <c r="J4" s="239" t="s">
        <v>190</v>
      </c>
      <c r="K4" s="228">
        <f t="shared" si="1"/>
        <v>6</v>
      </c>
      <c r="L4" s="61" t="str">
        <f t="shared" si="2"/>
        <v/>
      </c>
      <c r="M4" s="229">
        <f t="shared" si="3"/>
        <v>0</v>
      </c>
      <c r="N4" s="230">
        <f t="shared" ref="N4:N15" si="6">IF(G4 &lt;&gt; "Cancel",IF(H4&lt;&gt;"",20,10),0)</f>
        <v>0</v>
      </c>
      <c r="O4" s="229">
        <f t="shared" si="4"/>
        <v>0</v>
      </c>
      <c r="P4" s="229">
        <f t="shared" si="4"/>
        <v>0</v>
      </c>
      <c r="Q4" s="229">
        <f t="shared" si="4"/>
        <v>0</v>
      </c>
      <c r="R4" s="229">
        <f t="shared" si="4"/>
        <v>0</v>
      </c>
      <c r="S4" s="229">
        <f t="shared" si="4"/>
        <v>0</v>
      </c>
      <c r="T4" s="229">
        <f t="shared" si="4"/>
        <v>0</v>
      </c>
      <c r="U4" s="229">
        <f t="shared" si="4"/>
        <v>0</v>
      </c>
      <c r="V4" s="229">
        <f t="shared" si="4"/>
        <v>0</v>
      </c>
      <c r="W4" s="229">
        <f t="shared" si="4"/>
        <v>0</v>
      </c>
      <c r="X4" s="229">
        <f t="shared" si="4"/>
        <v>0</v>
      </c>
      <c r="Y4" s="229">
        <f t="shared" si="5"/>
        <v>0</v>
      </c>
      <c r="Z4" s="229">
        <f t="shared" si="5"/>
        <v>0</v>
      </c>
      <c r="AA4" s="229">
        <f t="shared" si="5"/>
        <v>0</v>
      </c>
      <c r="AB4" s="229">
        <f t="shared" si="5"/>
        <v>0</v>
      </c>
      <c r="AC4" s="229">
        <f t="shared" si="5"/>
        <v>0</v>
      </c>
      <c r="AD4" s="229">
        <f t="shared" si="5"/>
        <v>0</v>
      </c>
      <c r="AE4" s="229">
        <f t="shared" si="5"/>
        <v>0</v>
      </c>
      <c r="AF4" s="229">
        <f t="shared" si="5"/>
        <v>0</v>
      </c>
      <c r="AG4" s="229">
        <f t="shared" si="5"/>
        <v>0</v>
      </c>
      <c r="AH4" s="229">
        <f t="shared" si="5"/>
        <v>0</v>
      </c>
      <c r="AI4" s="229">
        <f t="shared" si="5"/>
        <v>0</v>
      </c>
      <c r="AJ4" s="229">
        <f t="shared" si="5"/>
        <v>0</v>
      </c>
      <c r="AK4" s="229">
        <f t="shared" si="5"/>
        <v>0</v>
      </c>
      <c r="AL4" s="229">
        <f t="shared" si="5"/>
        <v>0</v>
      </c>
      <c r="AM4" s="229">
        <f t="shared" si="5"/>
        <v>0</v>
      </c>
      <c r="AP4" s="61" t="s">
        <v>189</v>
      </c>
      <c r="AQ4" s="61">
        <v>70</v>
      </c>
    </row>
    <row r="5" spans="1:43" s="61" customFormat="1" x14ac:dyDescent="0.25">
      <c r="A5" s="240" t="s">
        <v>94</v>
      </c>
      <c r="B5" s="241" t="s">
        <v>95</v>
      </c>
      <c r="C5" s="242">
        <v>1</v>
      </c>
      <c r="D5" s="243" t="s">
        <v>91</v>
      </c>
      <c r="E5" s="244">
        <v>46073</v>
      </c>
      <c r="F5" s="245">
        <v>0.6875</v>
      </c>
      <c r="G5" s="224" t="s">
        <v>137</v>
      </c>
      <c r="H5" s="225"/>
      <c r="I5" s="246" t="s">
        <v>187</v>
      </c>
      <c r="J5" s="247" t="s">
        <v>188</v>
      </c>
      <c r="K5" s="228">
        <f t="shared" si="1"/>
        <v>6</v>
      </c>
      <c r="L5" s="61">
        <f t="shared" si="2"/>
        <v>1</v>
      </c>
      <c r="M5" s="229">
        <f t="shared" si="3"/>
        <v>0</v>
      </c>
      <c r="N5" s="230">
        <f t="shared" si="6"/>
        <v>0</v>
      </c>
      <c r="O5" s="229">
        <f t="shared" si="4"/>
        <v>0</v>
      </c>
      <c r="P5" s="229">
        <f t="shared" si="4"/>
        <v>0</v>
      </c>
      <c r="Q5" s="229">
        <f t="shared" si="4"/>
        <v>0</v>
      </c>
      <c r="R5" s="229">
        <f t="shared" si="4"/>
        <v>0</v>
      </c>
      <c r="S5" s="229">
        <f t="shared" si="4"/>
        <v>0</v>
      </c>
      <c r="T5" s="229">
        <f t="shared" si="4"/>
        <v>0</v>
      </c>
      <c r="U5" s="229">
        <f t="shared" si="4"/>
        <v>0</v>
      </c>
      <c r="V5" s="229">
        <f t="shared" si="4"/>
        <v>0</v>
      </c>
      <c r="W5" s="229">
        <f t="shared" si="4"/>
        <v>0</v>
      </c>
      <c r="X5" s="229">
        <f t="shared" si="4"/>
        <v>0</v>
      </c>
      <c r="Y5" s="229">
        <f t="shared" si="5"/>
        <v>0</v>
      </c>
      <c r="Z5" s="229">
        <f t="shared" si="5"/>
        <v>0</v>
      </c>
      <c r="AA5" s="229">
        <f t="shared" si="5"/>
        <v>0</v>
      </c>
      <c r="AB5" s="229">
        <f t="shared" si="5"/>
        <v>0</v>
      </c>
      <c r="AC5" s="229">
        <f t="shared" si="5"/>
        <v>0</v>
      </c>
      <c r="AD5" s="229">
        <f t="shared" si="5"/>
        <v>0</v>
      </c>
      <c r="AE5" s="229">
        <f t="shared" si="5"/>
        <v>0</v>
      </c>
      <c r="AF5" s="229">
        <f t="shared" si="5"/>
        <v>0</v>
      </c>
      <c r="AG5" s="229">
        <f t="shared" si="5"/>
        <v>0</v>
      </c>
      <c r="AH5" s="229">
        <f t="shared" si="5"/>
        <v>0</v>
      </c>
      <c r="AI5" s="229">
        <f t="shared" si="5"/>
        <v>0</v>
      </c>
      <c r="AJ5" s="229">
        <f t="shared" si="5"/>
        <v>0</v>
      </c>
      <c r="AK5" s="229">
        <f t="shared" si="5"/>
        <v>0</v>
      </c>
      <c r="AL5" s="229">
        <f t="shared" si="5"/>
        <v>0</v>
      </c>
      <c r="AM5" s="229">
        <f t="shared" si="5"/>
        <v>0</v>
      </c>
      <c r="AP5" s="61" t="s">
        <v>190</v>
      </c>
      <c r="AQ5" s="61">
        <v>75</v>
      </c>
    </row>
    <row r="6" spans="1:43" s="61" customFormat="1" x14ac:dyDescent="0.25">
      <c r="A6" s="240" t="s">
        <v>93</v>
      </c>
      <c r="B6" s="241" t="s">
        <v>96</v>
      </c>
      <c r="C6" s="242">
        <v>1</v>
      </c>
      <c r="D6" s="243" t="s">
        <v>91</v>
      </c>
      <c r="E6" s="244">
        <v>46073</v>
      </c>
      <c r="F6" s="245">
        <v>0.79166666666666663</v>
      </c>
      <c r="G6" s="224" t="s">
        <v>137</v>
      </c>
      <c r="H6" s="225"/>
      <c r="I6" s="246" t="s">
        <v>187</v>
      </c>
      <c r="J6" s="247" t="s">
        <v>188</v>
      </c>
      <c r="K6" s="228">
        <f t="shared" si="1"/>
        <v>6</v>
      </c>
      <c r="L6" s="61">
        <f t="shared" si="2"/>
        <v>1</v>
      </c>
      <c r="M6" s="229">
        <f t="shared" si="3"/>
        <v>0</v>
      </c>
      <c r="N6" s="230">
        <f t="shared" si="6"/>
        <v>0</v>
      </c>
      <c r="O6" s="229">
        <f t="shared" si="4"/>
        <v>0</v>
      </c>
      <c r="P6" s="229">
        <f t="shared" si="4"/>
        <v>0</v>
      </c>
      <c r="Q6" s="229">
        <f t="shared" si="4"/>
        <v>0</v>
      </c>
      <c r="R6" s="229">
        <f t="shared" si="4"/>
        <v>0</v>
      </c>
      <c r="S6" s="229">
        <f t="shared" si="4"/>
        <v>0</v>
      </c>
      <c r="T6" s="229">
        <f t="shared" si="4"/>
        <v>0</v>
      </c>
      <c r="U6" s="229">
        <f t="shared" si="4"/>
        <v>0</v>
      </c>
      <c r="V6" s="229">
        <f t="shared" si="4"/>
        <v>0</v>
      </c>
      <c r="W6" s="229">
        <f t="shared" si="4"/>
        <v>0</v>
      </c>
      <c r="X6" s="229">
        <f t="shared" si="4"/>
        <v>0</v>
      </c>
      <c r="Y6" s="229">
        <f t="shared" si="5"/>
        <v>0</v>
      </c>
      <c r="Z6" s="229">
        <f t="shared" si="5"/>
        <v>0</v>
      </c>
      <c r="AA6" s="229">
        <f t="shared" si="5"/>
        <v>0</v>
      </c>
      <c r="AB6" s="229">
        <f t="shared" si="5"/>
        <v>0</v>
      </c>
      <c r="AC6" s="229">
        <f t="shared" si="5"/>
        <v>0</v>
      </c>
      <c r="AD6" s="229">
        <f t="shared" si="5"/>
        <v>0</v>
      </c>
      <c r="AE6" s="229">
        <f t="shared" si="5"/>
        <v>0</v>
      </c>
      <c r="AF6" s="229">
        <f t="shared" si="5"/>
        <v>0</v>
      </c>
      <c r="AG6" s="229">
        <f t="shared" si="5"/>
        <v>0</v>
      </c>
      <c r="AH6" s="229">
        <f t="shared" si="5"/>
        <v>0</v>
      </c>
      <c r="AI6" s="229">
        <f t="shared" si="5"/>
        <v>0</v>
      </c>
      <c r="AJ6" s="229">
        <f t="shared" si="5"/>
        <v>0</v>
      </c>
      <c r="AK6" s="229">
        <f t="shared" si="5"/>
        <v>0</v>
      </c>
      <c r="AL6" s="229">
        <f t="shared" si="5"/>
        <v>0</v>
      </c>
      <c r="AM6" s="229">
        <f t="shared" si="5"/>
        <v>0</v>
      </c>
      <c r="AP6" s="61" t="s">
        <v>17</v>
      </c>
      <c r="AQ6" s="61">
        <v>50</v>
      </c>
    </row>
    <row r="7" spans="1:43" s="61" customFormat="1" x14ac:dyDescent="0.25">
      <c r="A7" s="248" t="s">
        <v>89</v>
      </c>
      <c r="B7" s="249" t="s">
        <v>94</v>
      </c>
      <c r="C7" s="250">
        <v>1</v>
      </c>
      <c r="D7" s="251" t="s">
        <v>91</v>
      </c>
      <c r="E7" s="252">
        <v>46074</v>
      </c>
      <c r="F7" s="253">
        <v>0.64583333333333337</v>
      </c>
      <c r="G7" s="254" t="s">
        <v>22</v>
      </c>
      <c r="H7" s="254" t="s">
        <v>20</v>
      </c>
      <c r="I7" s="255" t="s">
        <v>186</v>
      </c>
      <c r="J7" s="256" t="s">
        <v>190</v>
      </c>
      <c r="K7" s="228">
        <f t="shared" si="1"/>
        <v>7</v>
      </c>
      <c r="L7" s="61" t="str">
        <f t="shared" si="2"/>
        <v/>
      </c>
      <c r="M7" s="229">
        <f t="shared" si="3"/>
        <v>165</v>
      </c>
      <c r="N7" s="230">
        <f t="shared" si="6"/>
        <v>20</v>
      </c>
      <c r="O7" s="229">
        <f t="shared" si="4"/>
        <v>0</v>
      </c>
      <c r="P7" s="229">
        <f t="shared" si="4"/>
        <v>0</v>
      </c>
      <c r="Q7" s="229">
        <f t="shared" si="4"/>
        <v>75</v>
      </c>
      <c r="R7" s="229">
        <f t="shared" si="4"/>
        <v>0</v>
      </c>
      <c r="S7" s="229">
        <f t="shared" si="4"/>
        <v>70</v>
      </c>
      <c r="T7" s="229">
        <f t="shared" si="4"/>
        <v>0</v>
      </c>
      <c r="U7" s="229">
        <f t="shared" si="4"/>
        <v>0</v>
      </c>
      <c r="V7" s="229">
        <f t="shared" si="4"/>
        <v>0</v>
      </c>
      <c r="W7" s="229">
        <f t="shared" si="4"/>
        <v>0</v>
      </c>
      <c r="X7" s="229">
        <f t="shared" si="4"/>
        <v>0</v>
      </c>
      <c r="Y7" s="229">
        <f t="shared" si="5"/>
        <v>0</v>
      </c>
      <c r="Z7" s="229">
        <f t="shared" si="5"/>
        <v>0</v>
      </c>
      <c r="AA7" s="229">
        <f t="shared" si="5"/>
        <v>0</v>
      </c>
      <c r="AB7" s="229">
        <f t="shared" si="5"/>
        <v>0</v>
      </c>
      <c r="AC7" s="229">
        <f t="shared" si="5"/>
        <v>0</v>
      </c>
      <c r="AD7" s="229">
        <f t="shared" si="5"/>
        <v>0</v>
      </c>
      <c r="AE7" s="229">
        <f t="shared" si="5"/>
        <v>0</v>
      </c>
      <c r="AF7" s="229">
        <f t="shared" si="5"/>
        <v>0</v>
      </c>
      <c r="AG7" s="229">
        <f t="shared" si="5"/>
        <v>0</v>
      </c>
      <c r="AH7" s="229">
        <f t="shared" si="5"/>
        <v>0</v>
      </c>
      <c r="AI7" s="229">
        <f t="shared" si="5"/>
        <v>0</v>
      </c>
      <c r="AJ7" s="229">
        <f t="shared" si="5"/>
        <v>0</v>
      </c>
      <c r="AK7" s="229">
        <f t="shared" si="5"/>
        <v>0</v>
      </c>
      <c r="AL7" s="229">
        <f t="shared" si="5"/>
        <v>0</v>
      </c>
      <c r="AM7" s="229">
        <f t="shared" si="5"/>
        <v>0</v>
      </c>
      <c r="AP7" s="61" t="s">
        <v>34</v>
      </c>
      <c r="AQ7" s="61">
        <v>80</v>
      </c>
    </row>
    <row r="8" spans="1:43" s="61" customFormat="1" x14ac:dyDescent="0.25">
      <c r="A8" s="248" t="s">
        <v>96</v>
      </c>
      <c r="B8" s="249" t="s">
        <v>97</v>
      </c>
      <c r="C8" s="250">
        <v>1</v>
      </c>
      <c r="D8" s="251" t="s">
        <v>91</v>
      </c>
      <c r="E8" s="252">
        <v>46074</v>
      </c>
      <c r="F8" s="253">
        <v>0.75</v>
      </c>
      <c r="G8" s="254" t="s">
        <v>19</v>
      </c>
      <c r="H8" s="254" t="s">
        <v>22</v>
      </c>
      <c r="I8" s="255" t="s">
        <v>186</v>
      </c>
      <c r="J8" s="256" t="s">
        <v>190</v>
      </c>
      <c r="K8" s="228">
        <f t="shared" si="1"/>
        <v>7</v>
      </c>
      <c r="L8" s="61" t="str">
        <f t="shared" si="2"/>
        <v/>
      </c>
      <c r="M8" s="229">
        <f t="shared" si="3"/>
        <v>165</v>
      </c>
      <c r="N8" s="230">
        <f t="shared" si="6"/>
        <v>20</v>
      </c>
      <c r="O8" s="229">
        <f t="shared" si="4"/>
        <v>75</v>
      </c>
      <c r="P8" s="229">
        <f t="shared" si="4"/>
        <v>0</v>
      </c>
      <c r="Q8" s="229">
        <f t="shared" si="4"/>
        <v>70</v>
      </c>
      <c r="R8" s="229">
        <f t="shared" si="4"/>
        <v>0</v>
      </c>
      <c r="S8" s="229">
        <f t="shared" si="4"/>
        <v>0</v>
      </c>
      <c r="T8" s="229">
        <f t="shared" si="4"/>
        <v>0</v>
      </c>
      <c r="U8" s="229">
        <f t="shared" si="4"/>
        <v>0</v>
      </c>
      <c r="V8" s="229">
        <f t="shared" si="4"/>
        <v>0</v>
      </c>
      <c r="W8" s="229">
        <f t="shared" si="4"/>
        <v>0</v>
      </c>
      <c r="X8" s="229">
        <f t="shared" si="4"/>
        <v>0</v>
      </c>
      <c r="Y8" s="229">
        <f t="shared" si="5"/>
        <v>0</v>
      </c>
      <c r="Z8" s="229">
        <f t="shared" si="5"/>
        <v>0</v>
      </c>
      <c r="AA8" s="229">
        <f t="shared" si="5"/>
        <v>0</v>
      </c>
      <c r="AB8" s="229">
        <f t="shared" si="5"/>
        <v>0</v>
      </c>
      <c r="AC8" s="229">
        <f t="shared" si="5"/>
        <v>0</v>
      </c>
      <c r="AD8" s="229">
        <f t="shared" si="5"/>
        <v>0</v>
      </c>
      <c r="AE8" s="229">
        <f t="shared" si="5"/>
        <v>0</v>
      </c>
      <c r="AF8" s="229">
        <f t="shared" si="5"/>
        <v>0</v>
      </c>
      <c r="AG8" s="229">
        <f t="shared" si="5"/>
        <v>0</v>
      </c>
      <c r="AH8" s="229">
        <f t="shared" si="5"/>
        <v>0</v>
      </c>
      <c r="AI8" s="229">
        <f t="shared" si="5"/>
        <v>0</v>
      </c>
      <c r="AJ8" s="229">
        <f t="shared" si="5"/>
        <v>0</v>
      </c>
      <c r="AK8" s="229">
        <f t="shared" si="5"/>
        <v>0</v>
      </c>
      <c r="AL8" s="229">
        <f t="shared" si="5"/>
        <v>0</v>
      </c>
      <c r="AM8" s="229">
        <f t="shared" si="5"/>
        <v>0</v>
      </c>
      <c r="AP8" s="61" t="s">
        <v>86</v>
      </c>
      <c r="AQ8" s="61">
        <v>70</v>
      </c>
    </row>
    <row r="9" spans="1:43" s="61" customFormat="1" x14ac:dyDescent="0.25">
      <c r="A9" s="257" t="s">
        <v>98</v>
      </c>
      <c r="B9" s="258" t="s">
        <v>99</v>
      </c>
      <c r="C9" s="259">
        <v>1</v>
      </c>
      <c r="D9" s="260" t="s">
        <v>91</v>
      </c>
      <c r="E9" s="261">
        <v>46074</v>
      </c>
      <c r="F9" s="262">
        <v>0.64583333333333337</v>
      </c>
      <c r="G9" s="263" t="s">
        <v>104</v>
      </c>
      <c r="H9" s="225"/>
      <c r="I9" s="264" t="s">
        <v>187</v>
      </c>
      <c r="J9" s="265" t="s">
        <v>188</v>
      </c>
      <c r="K9" s="228">
        <f t="shared" si="1"/>
        <v>7</v>
      </c>
      <c r="L9" s="61">
        <f t="shared" si="2"/>
        <v>1</v>
      </c>
      <c r="M9" s="229">
        <f t="shared" si="3"/>
        <v>85</v>
      </c>
      <c r="N9" s="230">
        <f t="shared" si="6"/>
        <v>10</v>
      </c>
      <c r="O9" s="229">
        <f t="shared" si="4"/>
        <v>0</v>
      </c>
      <c r="P9" s="229">
        <f t="shared" si="4"/>
        <v>0</v>
      </c>
      <c r="Q9" s="229">
        <f t="shared" si="4"/>
        <v>0</v>
      </c>
      <c r="R9" s="229">
        <f t="shared" si="4"/>
        <v>0</v>
      </c>
      <c r="S9" s="229">
        <f t="shared" si="4"/>
        <v>0</v>
      </c>
      <c r="T9" s="229">
        <f t="shared" si="4"/>
        <v>0</v>
      </c>
      <c r="U9" s="229">
        <f t="shared" si="4"/>
        <v>75</v>
      </c>
      <c r="V9" s="229">
        <f t="shared" si="4"/>
        <v>0</v>
      </c>
      <c r="W9" s="229">
        <f t="shared" si="4"/>
        <v>0</v>
      </c>
      <c r="X9" s="229">
        <f t="shared" si="4"/>
        <v>0</v>
      </c>
      <c r="Y9" s="229">
        <f t="shared" si="5"/>
        <v>0</v>
      </c>
      <c r="Z9" s="229">
        <f t="shared" si="5"/>
        <v>0</v>
      </c>
      <c r="AA9" s="229">
        <f t="shared" si="5"/>
        <v>0</v>
      </c>
      <c r="AB9" s="229">
        <f t="shared" si="5"/>
        <v>0</v>
      </c>
      <c r="AC9" s="229">
        <f t="shared" si="5"/>
        <v>0</v>
      </c>
      <c r="AD9" s="229">
        <f t="shared" si="5"/>
        <v>0</v>
      </c>
      <c r="AE9" s="229">
        <f t="shared" si="5"/>
        <v>0</v>
      </c>
      <c r="AF9" s="229">
        <f t="shared" si="5"/>
        <v>0</v>
      </c>
      <c r="AG9" s="229">
        <f t="shared" si="5"/>
        <v>0</v>
      </c>
      <c r="AH9" s="229">
        <f t="shared" si="5"/>
        <v>0</v>
      </c>
      <c r="AI9" s="229">
        <f t="shared" si="5"/>
        <v>0</v>
      </c>
      <c r="AJ9" s="229">
        <f t="shared" si="5"/>
        <v>0</v>
      </c>
      <c r="AK9" s="229">
        <f t="shared" si="5"/>
        <v>0</v>
      </c>
      <c r="AL9" s="229">
        <f t="shared" si="5"/>
        <v>0</v>
      </c>
      <c r="AM9" s="229">
        <f t="shared" si="5"/>
        <v>0</v>
      </c>
      <c r="AP9" s="61" t="s">
        <v>87</v>
      </c>
      <c r="AQ9" s="61">
        <v>70</v>
      </c>
    </row>
    <row r="10" spans="1:43" s="61" customFormat="1" x14ac:dyDescent="0.25">
      <c r="A10" s="257" t="s">
        <v>97</v>
      </c>
      <c r="B10" s="258" t="s">
        <v>92</v>
      </c>
      <c r="C10" s="259">
        <v>1</v>
      </c>
      <c r="D10" s="260" t="s">
        <v>91</v>
      </c>
      <c r="E10" s="261">
        <v>46074</v>
      </c>
      <c r="F10" s="262">
        <v>0.75</v>
      </c>
      <c r="G10" s="263" t="s">
        <v>104</v>
      </c>
      <c r="H10" s="225"/>
      <c r="I10" s="264" t="s">
        <v>187</v>
      </c>
      <c r="J10" s="265" t="s">
        <v>188</v>
      </c>
      <c r="K10" s="228">
        <f t="shared" si="1"/>
        <v>7</v>
      </c>
      <c r="L10" s="61">
        <f t="shared" si="2"/>
        <v>1</v>
      </c>
      <c r="M10" s="229">
        <f t="shared" si="3"/>
        <v>85</v>
      </c>
      <c r="N10" s="230">
        <f t="shared" si="6"/>
        <v>10</v>
      </c>
      <c r="O10" s="229">
        <f t="shared" si="4"/>
        <v>0</v>
      </c>
      <c r="P10" s="229">
        <f t="shared" si="4"/>
        <v>0</v>
      </c>
      <c r="Q10" s="229">
        <f t="shared" si="4"/>
        <v>0</v>
      </c>
      <c r="R10" s="229">
        <f t="shared" si="4"/>
        <v>0</v>
      </c>
      <c r="S10" s="229">
        <f t="shared" si="4"/>
        <v>0</v>
      </c>
      <c r="T10" s="229">
        <f t="shared" si="4"/>
        <v>0</v>
      </c>
      <c r="U10" s="229">
        <f t="shared" si="4"/>
        <v>75</v>
      </c>
      <c r="V10" s="229">
        <f t="shared" si="4"/>
        <v>0</v>
      </c>
      <c r="W10" s="229">
        <f t="shared" si="4"/>
        <v>0</v>
      </c>
      <c r="X10" s="229">
        <f t="shared" si="4"/>
        <v>0</v>
      </c>
      <c r="Y10" s="229">
        <f t="shared" si="5"/>
        <v>0</v>
      </c>
      <c r="Z10" s="229">
        <f t="shared" si="5"/>
        <v>0</v>
      </c>
      <c r="AA10" s="229">
        <f t="shared" si="5"/>
        <v>0</v>
      </c>
      <c r="AB10" s="229">
        <f t="shared" si="5"/>
        <v>0</v>
      </c>
      <c r="AC10" s="229">
        <f t="shared" si="5"/>
        <v>0</v>
      </c>
      <c r="AD10" s="229">
        <f t="shared" si="5"/>
        <v>0</v>
      </c>
      <c r="AE10" s="229">
        <f t="shared" si="5"/>
        <v>0</v>
      </c>
      <c r="AF10" s="229">
        <f t="shared" si="5"/>
        <v>0</v>
      </c>
      <c r="AG10" s="229">
        <f t="shared" si="5"/>
        <v>0</v>
      </c>
      <c r="AH10" s="229">
        <f t="shared" si="5"/>
        <v>0</v>
      </c>
      <c r="AI10" s="229">
        <f t="shared" si="5"/>
        <v>0</v>
      </c>
      <c r="AJ10" s="229">
        <f t="shared" si="5"/>
        <v>0</v>
      </c>
      <c r="AK10" s="229">
        <f t="shared" si="5"/>
        <v>0</v>
      </c>
      <c r="AL10" s="229">
        <f t="shared" si="5"/>
        <v>0</v>
      </c>
      <c r="AM10" s="229">
        <f t="shared" si="5"/>
        <v>0</v>
      </c>
      <c r="AP10" s="61" t="s">
        <v>88</v>
      </c>
      <c r="AQ10" s="61">
        <v>70</v>
      </c>
    </row>
    <row r="11" spans="1:43" s="61" customFormat="1" x14ac:dyDescent="0.25">
      <c r="A11" s="266" t="s">
        <v>96</v>
      </c>
      <c r="B11" s="267" t="s">
        <v>100</v>
      </c>
      <c r="C11" s="268">
        <v>1</v>
      </c>
      <c r="D11" s="269" t="s">
        <v>91</v>
      </c>
      <c r="E11" s="270">
        <v>46075</v>
      </c>
      <c r="F11" s="271">
        <v>0.375</v>
      </c>
      <c r="G11" s="272" t="s">
        <v>74</v>
      </c>
      <c r="H11" s="225"/>
      <c r="I11" s="273" t="s">
        <v>186</v>
      </c>
      <c r="J11" s="274" t="s">
        <v>189</v>
      </c>
      <c r="K11" s="228">
        <f t="shared" si="1"/>
        <v>1</v>
      </c>
      <c r="L11" s="61">
        <f t="shared" si="2"/>
        <v>1</v>
      </c>
      <c r="M11" s="229">
        <f t="shared" si="3"/>
        <v>80</v>
      </c>
      <c r="N11" s="230">
        <f t="shared" si="6"/>
        <v>10</v>
      </c>
      <c r="O11" s="229">
        <f t="shared" si="4"/>
        <v>0</v>
      </c>
      <c r="P11" s="229">
        <f t="shared" si="4"/>
        <v>0</v>
      </c>
      <c r="Q11" s="229">
        <f t="shared" si="4"/>
        <v>0</v>
      </c>
      <c r="R11" s="229">
        <f t="shared" si="4"/>
        <v>0</v>
      </c>
      <c r="S11" s="229">
        <f t="shared" si="4"/>
        <v>0</v>
      </c>
      <c r="T11" s="229">
        <f t="shared" si="4"/>
        <v>0</v>
      </c>
      <c r="U11" s="229">
        <f t="shared" si="4"/>
        <v>0</v>
      </c>
      <c r="V11" s="229">
        <f t="shared" si="4"/>
        <v>0</v>
      </c>
      <c r="W11" s="229">
        <f t="shared" si="4"/>
        <v>0</v>
      </c>
      <c r="X11" s="229">
        <f t="shared" si="4"/>
        <v>0</v>
      </c>
      <c r="Y11" s="229">
        <f t="shared" si="5"/>
        <v>0</v>
      </c>
      <c r="Z11" s="229">
        <f t="shared" si="5"/>
        <v>0</v>
      </c>
      <c r="AA11" s="229">
        <f t="shared" si="5"/>
        <v>70</v>
      </c>
      <c r="AB11" s="229">
        <f t="shared" si="5"/>
        <v>0</v>
      </c>
      <c r="AC11" s="229">
        <f t="shared" si="5"/>
        <v>0</v>
      </c>
      <c r="AD11" s="229">
        <f t="shared" si="5"/>
        <v>0</v>
      </c>
      <c r="AE11" s="229">
        <f t="shared" si="5"/>
        <v>0</v>
      </c>
      <c r="AF11" s="229">
        <f t="shared" si="5"/>
        <v>0</v>
      </c>
      <c r="AG11" s="229">
        <f t="shared" si="5"/>
        <v>0</v>
      </c>
      <c r="AH11" s="229">
        <f t="shared" si="5"/>
        <v>0</v>
      </c>
      <c r="AI11" s="229">
        <f t="shared" si="5"/>
        <v>0</v>
      </c>
      <c r="AJ11" s="229">
        <f t="shared" si="5"/>
        <v>0</v>
      </c>
      <c r="AK11" s="229">
        <f t="shared" si="5"/>
        <v>0</v>
      </c>
      <c r="AL11" s="229">
        <f t="shared" si="5"/>
        <v>0</v>
      </c>
      <c r="AM11" s="229">
        <f t="shared" si="5"/>
        <v>0</v>
      </c>
    </row>
    <row r="12" spans="1:43" s="61" customFormat="1" x14ac:dyDescent="0.25">
      <c r="A12" s="266" t="s">
        <v>89</v>
      </c>
      <c r="B12" s="267" t="s">
        <v>90</v>
      </c>
      <c r="C12" s="268">
        <v>1</v>
      </c>
      <c r="D12" s="269" t="s">
        <v>91</v>
      </c>
      <c r="E12" s="270">
        <v>46075</v>
      </c>
      <c r="F12" s="271">
        <v>0.47916666666666669</v>
      </c>
      <c r="G12" s="272" t="s">
        <v>107</v>
      </c>
      <c r="H12" s="225"/>
      <c r="I12" s="273" t="s">
        <v>186</v>
      </c>
      <c r="J12" s="274" t="s">
        <v>189</v>
      </c>
      <c r="K12" s="228">
        <f t="shared" si="1"/>
        <v>1</v>
      </c>
      <c r="L12" s="61">
        <f t="shared" si="2"/>
        <v>1</v>
      </c>
      <c r="M12" s="229">
        <f t="shared" si="3"/>
        <v>80</v>
      </c>
      <c r="N12" s="230">
        <f t="shared" si="6"/>
        <v>10</v>
      </c>
      <c r="O12" s="229">
        <f t="shared" si="4"/>
        <v>0</v>
      </c>
      <c r="P12" s="229">
        <f t="shared" si="4"/>
        <v>0</v>
      </c>
      <c r="Q12" s="229">
        <f t="shared" si="4"/>
        <v>0</v>
      </c>
      <c r="R12" s="229">
        <f t="shared" si="4"/>
        <v>0</v>
      </c>
      <c r="S12" s="229">
        <f t="shared" si="4"/>
        <v>0</v>
      </c>
      <c r="T12" s="229">
        <f t="shared" si="4"/>
        <v>0</v>
      </c>
      <c r="U12" s="229">
        <f t="shared" si="4"/>
        <v>0</v>
      </c>
      <c r="V12" s="229">
        <f t="shared" si="4"/>
        <v>0</v>
      </c>
      <c r="W12" s="229">
        <f t="shared" si="4"/>
        <v>0</v>
      </c>
      <c r="X12" s="229">
        <f t="shared" si="4"/>
        <v>0</v>
      </c>
      <c r="Y12" s="229">
        <f t="shared" si="5"/>
        <v>0</v>
      </c>
      <c r="Z12" s="229">
        <f t="shared" si="5"/>
        <v>0</v>
      </c>
      <c r="AA12" s="229">
        <f t="shared" si="5"/>
        <v>0</v>
      </c>
      <c r="AB12" s="229">
        <f t="shared" si="5"/>
        <v>0</v>
      </c>
      <c r="AC12" s="229">
        <f t="shared" si="5"/>
        <v>0</v>
      </c>
      <c r="AD12" s="229">
        <f t="shared" si="5"/>
        <v>70</v>
      </c>
      <c r="AE12" s="229">
        <f t="shared" si="5"/>
        <v>0</v>
      </c>
      <c r="AF12" s="229">
        <f t="shared" si="5"/>
        <v>0</v>
      </c>
      <c r="AG12" s="229">
        <f t="shared" si="5"/>
        <v>0</v>
      </c>
      <c r="AH12" s="229">
        <f t="shared" si="5"/>
        <v>0</v>
      </c>
      <c r="AI12" s="229">
        <f t="shared" si="5"/>
        <v>0</v>
      </c>
      <c r="AJ12" s="229">
        <f t="shared" si="5"/>
        <v>0</v>
      </c>
      <c r="AK12" s="229">
        <f t="shared" si="5"/>
        <v>0</v>
      </c>
      <c r="AL12" s="229">
        <f t="shared" si="5"/>
        <v>0</v>
      </c>
      <c r="AM12" s="229">
        <f t="shared" si="5"/>
        <v>0</v>
      </c>
    </row>
    <row r="13" spans="1:43" s="61" customFormat="1" x14ac:dyDescent="0.25">
      <c r="A13" s="266" t="s">
        <v>97</v>
      </c>
      <c r="B13" s="267" t="s">
        <v>98</v>
      </c>
      <c r="C13" s="268">
        <v>1</v>
      </c>
      <c r="D13" s="269" t="s">
        <v>91</v>
      </c>
      <c r="E13" s="270">
        <v>46075</v>
      </c>
      <c r="F13" s="271">
        <v>0.58333333333333337</v>
      </c>
      <c r="G13" s="272" t="s">
        <v>106</v>
      </c>
      <c r="H13" s="225"/>
      <c r="I13" s="273" t="s">
        <v>186</v>
      </c>
      <c r="J13" s="274" t="s">
        <v>189</v>
      </c>
      <c r="K13" s="228">
        <f t="shared" si="1"/>
        <v>1</v>
      </c>
      <c r="L13" s="61">
        <f t="shared" si="2"/>
        <v>1</v>
      </c>
      <c r="M13" s="229">
        <f t="shared" si="3"/>
        <v>80</v>
      </c>
      <c r="N13" s="230">
        <f t="shared" si="6"/>
        <v>10</v>
      </c>
      <c r="O13" s="229">
        <f t="shared" ref="O13:X19" si="7">IF($G13=O$1,VLOOKUP($J13,$AP:$AQ,2,FALSE),IF($H13=O$1,70,0))</f>
        <v>0</v>
      </c>
      <c r="P13" s="229">
        <f t="shared" si="7"/>
        <v>0</v>
      </c>
      <c r="Q13" s="229">
        <f t="shared" si="7"/>
        <v>0</v>
      </c>
      <c r="R13" s="229">
        <f t="shared" si="7"/>
        <v>0</v>
      </c>
      <c r="S13" s="229">
        <f t="shared" si="7"/>
        <v>0</v>
      </c>
      <c r="T13" s="229">
        <f t="shared" si="7"/>
        <v>0</v>
      </c>
      <c r="U13" s="229">
        <f t="shared" si="7"/>
        <v>0</v>
      </c>
      <c r="V13" s="229">
        <f t="shared" si="7"/>
        <v>0</v>
      </c>
      <c r="W13" s="229">
        <f t="shared" si="7"/>
        <v>0</v>
      </c>
      <c r="X13" s="229">
        <f t="shared" si="7"/>
        <v>0</v>
      </c>
      <c r="Y13" s="229">
        <f t="shared" ref="Y13:AM19" si="8">IF($G13=Y$1,VLOOKUP($J13,$AP:$AQ,2,FALSE),IF($H13=Y$1,70,0))</f>
        <v>0</v>
      </c>
      <c r="Z13" s="229">
        <f t="shared" si="8"/>
        <v>0</v>
      </c>
      <c r="AA13" s="229">
        <f t="shared" si="8"/>
        <v>0</v>
      </c>
      <c r="AB13" s="229">
        <f t="shared" si="8"/>
        <v>0</v>
      </c>
      <c r="AC13" s="229">
        <f t="shared" si="8"/>
        <v>70</v>
      </c>
      <c r="AD13" s="229">
        <f t="shared" si="8"/>
        <v>0</v>
      </c>
      <c r="AE13" s="229">
        <f t="shared" si="8"/>
        <v>0</v>
      </c>
      <c r="AF13" s="229">
        <f t="shared" si="8"/>
        <v>0</v>
      </c>
      <c r="AG13" s="229">
        <f t="shared" si="8"/>
        <v>0</v>
      </c>
      <c r="AH13" s="229">
        <f t="shared" si="8"/>
        <v>0</v>
      </c>
      <c r="AI13" s="229">
        <f t="shared" si="8"/>
        <v>0</v>
      </c>
      <c r="AJ13" s="229">
        <f t="shared" si="8"/>
        <v>0</v>
      </c>
      <c r="AK13" s="229">
        <f t="shared" si="8"/>
        <v>0</v>
      </c>
      <c r="AL13" s="229">
        <f t="shared" si="8"/>
        <v>0</v>
      </c>
      <c r="AM13" s="229">
        <f t="shared" si="8"/>
        <v>0</v>
      </c>
    </row>
    <row r="14" spans="1:43" s="61" customFormat="1" x14ac:dyDescent="0.25">
      <c r="A14" s="266" t="s">
        <v>94</v>
      </c>
      <c r="B14" s="267" t="s">
        <v>92</v>
      </c>
      <c r="C14" s="268">
        <v>1</v>
      </c>
      <c r="D14" s="269" t="s">
        <v>91</v>
      </c>
      <c r="E14" s="270">
        <v>46075</v>
      </c>
      <c r="F14" s="271">
        <v>0.375</v>
      </c>
      <c r="G14" s="275" t="s">
        <v>102</v>
      </c>
      <c r="H14" s="225"/>
      <c r="I14" s="273" t="s">
        <v>187</v>
      </c>
      <c r="J14" s="274" t="s">
        <v>189</v>
      </c>
      <c r="K14" s="228">
        <f t="shared" si="1"/>
        <v>1</v>
      </c>
      <c r="L14" s="61">
        <f t="shared" si="2"/>
        <v>1</v>
      </c>
      <c r="M14" s="229">
        <f t="shared" si="3"/>
        <v>80</v>
      </c>
      <c r="N14" s="230">
        <f t="shared" si="6"/>
        <v>10</v>
      </c>
      <c r="O14" s="229">
        <f t="shared" si="7"/>
        <v>0</v>
      </c>
      <c r="P14" s="229">
        <f t="shared" si="7"/>
        <v>0</v>
      </c>
      <c r="Q14" s="229">
        <f t="shared" si="7"/>
        <v>0</v>
      </c>
      <c r="R14" s="229">
        <f t="shared" si="7"/>
        <v>0</v>
      </c>
      <c r="S14" s="229">
        <f t="shared" si="7"/>
        <v>0</v>
      </c>
      <c r="T14" s="229">
        <f t="shared" si="7"/>
        <v>0</v>
      </c>
      <c r="U14" s="229">
        <f t="shared" si="7"/>
        <v>0</v>
      </c>
      <c r="V14" s="229">
        <f t="shared" si="7"/>
        <v>0</v>
      </c>
      <c r="W14" s="229">
        <f t="shared" si="7"/>
        <v>70</v>
      </c>
      <c r="X14" s="229">
        <f t="shared" si="7"/>
        <v>0</v>
      </c>
      <c r="Y14" s="229">
        <f t="shared" si="8"/>
        <v>0</v>
      </c>
      <c r="Z14" s="229">
        <f t="shared" si="8"/>
        <v>0</v>
      </c>
      <c r="AA14" s="229">
        <f t="shared" si="8"/>
        <v>0</v>
      </c>
      <c r="AB14" s="229">
        <f t="shared" si="8"/>
        <v>0</v>
      </c>
      <c r="AC14" s="229">
        <f t="shared" si="8"/>
        <v>0</v>
      </c>
      <c r="AD14" s="229">
        <f t="shared" si="8"/>
        <v>0</v>
      </c>
      <c r="AE14" s="229">
        <f t="shared" si="8"/>
        <v>0</v>
      </c>
      <c r="AF14" s="229">
        <f t="shared" si="8"/>
        <v>0</v>
      </c>
      <c r="AG14" s="229">
        <f t="shared" si="8"/>
        <v>0</v>
      </c>
      <c r="AH14" s="229">
        <f t="shared" si="8"/>
        <v>0</v>
      </c>
      <c r="AI14" s="229">
        <f t="shared" si="8"/>
        <v>0</v>
      </c>
      <c r="AJ14" s="229">
        <f t="shared" si="8"/>
        <v>0</v>
      </c>
      <c r="AK14" s="229">
        <f t="shared" si="8"/>
        <v>0</v>
      </c>
      <c r="AL14" s="229">
        <f t="shared" si="8"/>
        <v>0</v>
      </c>
      <c r="AM14" s="229">
        <f t="shared" si="8"/>
        <v>0</v>
      </c>
    </row>
    <row r="15" spans="1:43" s="61" customFormat="1" x14ac:dyDescent="0.25">
      <c r="A15" s="266" t="s">
        <v>93</v>
      </c>
      <c r="B15" s="267" t="s">
        <v>101</v>
      </c>
      <c r="C15" s="268">
        <v>1</v>
      </c>
      <c r="D15" s="269" t="s">
        <v>91</v>
      </c>
      <c r="E15" s="270">
        <v>46075</v>
      </c>
      <c r="F15" s="271">
        <v>0.47916666666666669</v>
      </c>
      <c r="G15" s="275" t="s">
        <v>102</v>
      </c>
      <c r="H15" s="225"/>
      <c r="I15" s="273" t="s">
        <v>187</v>
      </c>
      <c r="J15" s="274" t="s">
        <v>189</v>
      </c>
      <c r="K15" s="228">
        <f t="shared" si="1"/>
        <v>1</v>
      </c>
      <c r="L15" s="61">
        <f t="shared" si="2"/>
        <v>1</v>
      </c>
      <c r="M15" s="229">
        <f t="shared" si="3"/>
        <v>80</v>
      </c>
      <c r="N15" s="230">
        <f t="shared" si="6"/>
        <v>10</v>
      </c>
      <c r="O15" s="229">
        <f t="shared" si="7"/>
        <v>0</v>
      </c>
      <c r="P15" s="229">
        <f t="shared" si="7"/>
        <v>0</v>
      </c>
      <c r="Q15" s="229">
        <f t="shared" si="7"/>
        <v>0</v>
      </c>
      <c r="R15" s="229">
        <f t="shared" si="7"/>
        <v>0</v>
      </c>
      <c r="S15" s="229">
        <f t="shared" si="7"/>
        <v>0</v>
      </c>
      <c r="T15" s="229">
        <f t="shared" si="7"/>
        <v>0</v>
      </c>
      <c r="U15" s="229">
        <f t="shared" si="7"/>
        <v>0</v>
      </c>
      <c r="V15" s="229">
        <f t="shared" si="7"/>
        <v>0</v>
      </c>
      <c r="W15" s="229">
        <f t="shared" si="7"/>
        <v>70</v>
      </c>
      <c r="X15" s="229">
        <f t="shared" si="7"/>
        <v>0</v>
      </c>
      <c r="Y15" s="229">
        <f t="shared" si="8"/>
        <v>0</v>
      </c>
      <c r="Z15" s="229">
        <f t="shared" si="8"/>
        <v>0</v>
      </c>
      <c r="AA15" s="229">
        <f t="shared" si="8"/>
        <v>0</v>
      </c>
      <c r="AB15" s="229">
        <f t="shared" si="8"/>
        <v>0</v>
      </c>
      <c r="AC15" s="229">
        <f t="shared" si="8"/>
        <v>0</v>
      </c>
      <c r="AD15" s="229">
        <f t="shared" si="8"/>
        <v>0</v>
      </c>
      <c r="AE15" s="229">
        <f t="shared" si="8"/>
        <v>0</v>
      </c>
      <c r="AF15" s="229">
        <f t="shared" si="8"/>
        <v>0</v>
      </c>
      <c r="AG15" s="229">
        <f t="shared" si="8"/>
        <v>0</v>
      </c>
      <c r="AH15" s="229">
        <f t="shared" si="8"/>
        <v>0</v>
      </c>
      <c r="AI15" s="229">
        <f t="shared" si="8"/>
        <v>0</v>
      </c>
      <c r="AJ15" s="229">
        <f t="shared" si="8"/>
        <v>0</v>
      </c>
      <c r="AK15" s="229">
        <f t="shared" si="8"/>
        <v>0</v>
      </c>
      <c r="AL15" s="229">
        <f t="shared" si="8"/>
        <v>0</v>
      </c>
      <c r="AM15" s="229">
        <f t="shared" si="8"/>
        <v>0</v>
      </c>
    </row>
    <row r="16" spans="1:43" s="61" customFormat="1" x14ac:dyDescent="0.25">
      <c r="A16" s="276" t="s">
        <v>95</v>
      </c>
      <c r="B16" s="277" t="s">
        <v>99</v>
      </c>
      <c r="C16" s="278">
        <v>1</v>
      </c>
      <c r="D16" s="269" t="s">
        <v>91</v>
      </c>
      <c r="E16" s="270">
        <v>46075</v>
      </c>
      <c r="F16" s="271">
        <v>0.58333333333333337</v>
      </c>
      <c r="G16" s="275" t="s">
        <v>75</v>
      </c>
      <c r="H16" s="225"/>
      <c r="I16" s="273" t="s">
        <v>187</v>
      </c>
      <c r="J16" s="274" t="s">
        <v>189</v>
      </c>
      <c r="K16" s="228">
        <f>WEEKDAY(E16)</f>
        <v>1</v>
      </c>
      <c r="L16" s="61">
        <f>IF(G16=L$1,1,IF(H16=L$1,1,""))</f>
        <v>1</v>
      </c>
      <c r="M16" s="229">
        <f t="shared" si="3"/>
        <v>80</v>
      </c>
      <c r="N16" s="230">
        <f>IF(G16 &lt;&gt; "Cancel",IF(H16&lt;&gt;"",20,10),0)</f>
        <v>10</v>
      </c>
      <c r="O16" s="229">
        <f t="shared" si="7"/>
        <v>0</v>
      </c>
      <c r="P16" s="229">
        <f t="shared" si="7"/>
        <v>0</v>
      </c>
      <c r="Q16" s="229">
        <f t="shared" si="7"/>
        <v>0</v>
      </c>
      <c r="R16" s="229">
        <f t="shared" si="7"/>
        <v>0</v>
      </c>
      <c r="S16" s="229">
        <f t="shared" si="7"/>
        <v>0</v>
      </c>
      <c r="T16" s="229">
        <f t="shared" si="7"/>
        <v>0</v>
      </c>
      <c r="U16" s="229">
        <f t="shared" si="7"/>
        <v>0</v>
      </c>
      <c r="V16" s="229">
        <f t="shared" si="7"/>
        <v>0</v>
      </c>
      <c r="W16" s="229">
        <f t="shared" si="7"/>
        <v>0</v>
      </c>
      <c r="X16" s="229">
        <f t="shared" si="7"/>
        <v>0</v>
      </c>
      <c r="Y16" s="229">
        <f t="shared" si="8"/>
        <v>0</v>
      </c>
      <c r="Z16" s="229">
        <f t="shared" si="8"/>
        <v>0</v>
      </c>
      <c r="AA16" s="229">
        <f t="shared" si="8"/>
        <v>0</v>
      </c>
      <c r="AB16" s="229">
        <f t="shared" si="8"/>
        <v>70</v>
      </c>
      <c r="AC16" s="229">
        <f t="shared" si="8"/>
        <v>0</v>
      </c>
      <c r="AD16" s="229">
        <f t="shared" si="8"/>
        <v>0</v>
      </c>
      <c r="AE16" s="229">
        <f t="shared" si="8"/>
        <v>0</v>
      </c>
      <c r="AF16" s="229">
        <f t="shared" si="8"/>
        <v>0</v>
      </c>
      <c r="AG16" s="229">
        <f t="shared" si="8"/>
        <v>0</v>
      </c>
      <c r="AH16" s="229">
        <f t="shared" si="8"/>
        <v>0</v>
      </c>
      <c r="AI16" s="229">
        <f t="shared" si="8"/>
        <v>0</v>
      </c>
      <c r="AJ16" s="229">
        <f t="shared" si="8"/>
        <v>0</v>
      </c>
      <c r="AK16" s="229">
        <f t="shared" si="8"/>
        <v>0</v>
      </c>
      <c r="AL16" s="229">
        <f t="shared" si="8"/>
        <v>0</v>
      </c>
      <c r="AM16" s="229">
        <f t="shared" si="8"/>
        <v>0</v>
      </c>
    </row>
    <row r="17" spans="1:43" s="288" customFormat="1" x14ac:dyDescent="0.25">
      <c r="A17" s="279" t="s">
        <v>92</v>
      </c>
      <c r="B17" s="280" t="s">
        <v>93</v>
      </c>
      <c r="C17" s="281">
        <v>1</v>
      </c>
      <c r="D17" s="282" t="s">
        <v>91</v>
      </c>
      <c r="E17" s="235">
        <v>46075</v>
      </c>
      <c r="F17" s="236">
        <v>0.6875</v>
      </c>
      <c r="G17" s="283" t="s">
        <v>18</v>
      </c>
      <c r="H17" s="284" t="s">
        <v>19</v>
      </c>
      <c r="I17" s="285" t="s">
        <v>186</v>
      </c>
      <c r="J17" s="286" t="s">
        <v>190</v>
      </c>
      <c r="K17" s="287">
        <f t="shared" ref="K17" si="9">WEEKDAY(E17)</f>
        <v>1</v>
      </c>
      <c r="L17" s="288" t="str">
        <f t="shared" ref="L17" si="10">IF(G17=L$1,1,IF(H17=L$1,1,""))</f>
        <v/>
      </c>
      <c r="M17" s="289">
        <f t="shared" si="3"/>
        <v>165</v>
      </c>
      <c r="N17" s="289">
        <f t="shared" ref="N17" si="11">IF(G17 &lt;&gt; "Cancel",IF(H17&lt;&gt;"",20,10),0)</f>
        <v>20</v>
      </c>
      <c r="O17" s="289">
        <f t="shared" si="7"/>
        <v>70</v>
      </c>
      <c r="P17" s="289">
        <f t="shared" si="7"/>
        <v>75</v>
      </c>
      <c r="Q17" s="289">
        <f t="shared" si="7"/>
        <v>0</v>
      </c>
      <c r="R17" s="289">
        <f t="shared" si="7"/>
        <v>0</v>
      </c>
      <c r="S17" s="289">
        <f t="shared" si="7"/>
        <v>0</v>
      </c>
      <c r="T17" s="289">
        <f t="shared" si="7"/>
        <v>0</v>
      </c>
      <c r="U17" s="289">
        <f t="shared" si="7"/>
        <v>0</v>
      </c>
      <c r="V17" s="289">
        <f t="shared" si="7"/>
        <v>0</v>
      </c>
      <c r="W17" s="289">
        <f t="shared" si="7"/>
        <v>0</v>
      </c>
      <c r="X17" s="289">
        <f t="shared" si="7"/>
        <v>0</v>
      </c>
      <c r="Y17" s="289">
        <f t="shared" si="8"/>
        <v>0</v>
      </c>
      <c r="Z17" s="289">
        <f t="shared" si="8"/>
        <v>0</v>
      </c>
      <c r="AA17" s="289">
        <f t="shared" si="8"/>
        <v>0</v>
      </c>
      <c r="AB17" s="289">
        <f t="shared" si="8"/>
        <v>0</v>
      </c>
      <c r="AC17" s="289">
        <f t="shared" si="8"/>
        <v>0</v>
      </c>
      <c r="AD17" s="289">
        <f t="shared" si="8"/>
        <v>0</v>
      </c>
      <c r="AE17" s="289">
        <f t="shared" si="8"/>
        <v>0</v>
      </c>
      <c r="AF17" s="289">
        <f t="shared" si="8"/>
        <v>0</v>
      </c>
      <c r="AG17" s="289">
        <f t="shared" si="8"/>
        <v>0</v>
      </c>
      <c r="AH17" s="289">
        <f t="shared" si="8"/>
        <v>0</v>
      </c>
      <c r="AI17" s="289">
        <f t="shared" si="8"/>
        <v>0</v>
      </c>
      <c r="AJ17" s="289">
        <f t="shared" si="8"/>
        <v>0</v>
      </c>
      <c r="AK17" s="289">
        <f t="shared" si="8"/>
        <v>0</v>
      </c>
      <c r="AL17" s="289">
        <f t="shared" si="8"/>
        <v>0</v>
      </c>
      <c r="AM17" s="289">
        <f t="shared" si="8"/>
        <v>0</v>
      </c>
      <c r="AP17" s="288" t="s">
        <v>189</v>
      </c>
      <c r="AQ17" s="288">
        <v>70</v>
      </c>
    </row>
    <row r="18" spans="1:43" s="61" customFormat="1" x14ac:dyDescent="0.25">
      <c r="A18" s="240" t="s">
        <v>93</v>
      </c>
      <c r="B18" s="241" t="s">
        <v>96</v>
      </c>
      <c r="C18" s="242">
        <v>1</v>
      </c>
      <c r="D18" s="243" t="s">
        <v>91</v>
      </c>
      <c r="E18" s="244">
        <v>46075</v>
      </c>
      <c r="F18" s="245">
        <v>0.6875</v>
      </c>
      <c r="G18" s="224" t="s">
        <v>106</v>
      </c>
      <c r="H18" s="225"/>
      <c r="I18" s="246" t="s">
        <v>187</v>
      </c>
      <c r="J18" s="247" t="s">
        <v>188</v>
      </c>
      <c r="K18" s="228">
        <f t="shared" ref="K18" si="12">WEEKDAY(E18)</f>
        <v>1</v>
      </c>
      <c r="L18" s="61">
        <f t="shared" ref="L18" si="13">IF(G18=L$1,1,IF(H18=L$1,1,""))</f>
        <v>1</v>
      </c>
      <c r="M18" s="229">
        <f t="shared" si="3"/>
        <v>85</v>
      </c>
      <c r="N18" s="230">
        <f t="shared" ref="N18" si="14">IF(G18 &lt;&gt; "Cancel",IF(H18&lt;&gt;"",20,10),0)</f>
        <v>10</v>
      </c>
      <c r="O18" s="229">
        <f t="shared" si="7"/>
        <v>0</v>
      </c>
      <c r="P18" s="229">
        <f t="shared" si="7"/>
        <v>0</v>
      </c>
      <c r="Q18" s="229">
        <f t="shared" si="7"/>
        <v>0</v>
      </c>
      <c r="R18" s="229">
        <f t="shared" si="7"/>
        <v>0</v>
      </c>
      <c r="S18" s="229">
        <f t="shared" si="7"/>
        <v>0</v>
      </c>
      <c r="T18" s="229">
        <f t="shared" si="7"/>
        <v>0</v>
      </c>
      <c r="U18" s="229">
        <f t="shared" si="7"/>
        <v>0</v>
      </c>
      <c r="V18" s="229">
        <f t="shared" si="7"/>
        <v>0</v>
      </c>
      <c r="W18" s="229">
        <f t="shared" si="7"/>
        <v>0</v>
      </c>
      <c r="X18" s="229">
        <f t="shared" si="7"/>
        <v>0</v>
      </c>
      <c r="Y18" s="229">
        <f t="shared" si="8"/>
        <v>0</v>
      </c>
      <c r="Z18" s="229">
        <f t="shared" si="8"/>
        <v>0</v>
      </c>
      <c r="AA18" s="229">
        <f t="shared" si="8"/>
        <v>0</v>
      </c>
      <c r="AB18" s="229">
        <f t="shared" si="8"/>
        <v>0</v>
      </c>
      <c r="AC18" s="229">
        <f t="shared" si="8"/>
        <v>75</v>
      </c>
      <c r="AD18" s="229">
        <f t="shared" si="8"/>
        <v>0</v>
      </c>
      <c r="AE18" s="229">
        <f t="shared" si="8"/>
        <v>0</v>
      </c>
      <c r="AF18" s="229">
        <f t="shared" si="8"/>
        <v>0</v>
      </c>
      <c r="AG18" s="229">
        <f t="shared" si="8"/>
        <v>0</v>
      </c>
      <c r="AH18" s="229">
        <f t="shared" si="8"/>
        <v>0</v>
      </c>
      <c r="AI18" s="229">
        <f t="shared" si="8"/>
        <v>0</v>
      </c>
      <c r="AJ18" s="229">
        <f t="shared" si="8"/>
        <v>0</v>
      </c>
      <c r="AK18" s="229">
        <f t="shared" si="8"/>
        <v>0</v>
      </c>
      <c r="AL18" s="229">
        <f t="shared" si="8"/>
        <v>0</v>
      </c>
      <c r="AM18" s="229">
        <f t="shared" si="8"/>
        <v>0</v>
      </c>
      <c r="AP18" s="61" t="s">
        <v>17</v>
      </c>
      <c r="AQ18" s="61">
        <v>50</v>
      </c>
    </row>
    <row r="19" spans="1:43" s="61" customFormat="1" ht="15.75" thickBot="1" x14ac:dyDescent="0.3">
      <c r="A19" s="240" t="s">
        <v>92</v>
      </c>
      <c r="B19" s="241" t="s">
        <v>93</v>
      </c>
      <c r="C19" s="242">
        <v>1</v>
      </c>
      <c r="D19" s="243" t="s">
        <v>91</v>
      </c>
      <c r="E19" s="244">
        <v>46075</v>
      </c>
      <c r="F19" s="245">
        <v>0.79166666666666663</v>
      </c>
      <c r="G19" s="290" t="s">
        <v>21</v>
      </c>
      <c r="H19" s="225"/>
      <c r="I19" s="246" t="s">
        <v>187</v>
      </c>
      <c r="J19" s="247" t="s">
        <v>188</v>
      </c>
      <c r="K19" s="228">
        <f t="shared" ref="K19" si="15">WEEKDAY(E19)</f>
        <v>1</v>
      </c>
      <c r="L19" s="61">
        <f t="shared" ref="L19" si="16">IF(G19=L$1,1,IF(H19=L$1,1,""))</f>
        <v>1</v>
      </c>
      <c r="M19" s="229">
        <f t="shared" si="3"/>
        <v>85</v>
      </c>
      <c r="N19" s="230">
        <f t="shared" ref="N19" si="17">IF(G19 &lt;&gt; "Cancel",IF(H19&lt;&gt;"",20,10),0)</f>
        <v>10</v>
      </c>
      <c r="O19" s="229">
        <f t="shared" si="7"/>
        <v>0</v>
      </c>
      <c r="P19" s="229">
        <f t="shared" si="7"/>
        <v>0</v>
      </c>
      <c r="Q19" s="229">
        <f t="shared" si="7"/>
        <v>0</v>
      </c>
      <c r="R19" s="229">
        <f t="shared" si="7"/>
        <v>0</v>
      </c>
      <c r="S19" s="229">
        <f t="shared" si="7"/>
        <v>0</v>
      </c>
      <c r="T19" s="229">
        <f t="shared" si="7"/>
        <v>0</v>
      </c>
      <c r="U19" s="229">
        <f t="shared" si="7"/>
        <v>0</v>
      </c>
      <c r="V19" s="229">
        <f t="shared" si="7"/>
        <v>75</v>
      </c>
      <c r="W19" s="229">
        <f t="shared" si="7"/>
        <v>0</v>
      </c>
      <c r="X19" s="229">
        <f t="shared" si="7"/>
        <v>0</v>
      </c>
      <c r="Y19" s="229">
        <f t="shared" si="8"/>
        <v>0</v>
      </c>
      <c r="Z19" s="229">
        <f t="shared" si="8"/>
        <v>0</v>
      </c>
      <c r="AA19" s="229">
        <f t="shared" si="8"/>
        <v>0</v>
      </c>
      <c r="AB19" s="229">
        <f t="shared" si="8"/>
        <v>0</v>
      </c>
      <c r="AC19" s="229">
        <f t="shared" si="8"/>
        <v>0</v>
      </c>
      <c r="AD19" s="229">
        <f t="shared" si="8"/>
        <v>0</v>
      </c>
      <c r="AE19" s="229">
        <f t="shared" si="8"/>
        <v>0</v>
      </c>
      <c r="AF19" s="229">
        <f t="shared" si="8"/>
        <v>0</v>
      </c>
      <c r="AG19" s="229">
        <f t="shared" si="8"/>
        <v>0</v>
      </c>
      <c r="AH19" s="229">
        <f t="shared" si="8"/>
        <v>0</v>
      </c>
      <c r="AI19" s="229">
        <f t="shared" si="8"/>
        <v>0</v>
      </c>
      <c r="AJ19" s="229">
        <f t="shared" si="8"/>
        <v>0</v>
      </c>
      <c r="AK19" s="229">
        <f t="shared" si="8"/>
        <v>0</v>
      </c>
      <c r="AL19" s="229">
        <f t="shared" si="8"/>
        <v>0</v>
      </c>
      <c r="AM19" s="229">
        <f t="shared" si="8"/>
        <v>0</v>
      </c>
      <c r="AP19" s="61" t="s">
        <v>189</v>
      </c>
      <c r="AQ19" s="61">
        <v>70</v>
      </c>
    </row>
    <row r="20" spans="1:43" s="61" customFormat="1" ht="13.5" customHeight="1" thickBot="1" x14ac:dyDescent="0.3">
      <c r="A20" s="291"/>
      <c r="B20" s="292"/>
      <c r="C20" s="293"/>
      <c r="D20" s="294"/>
      <c r="E20" s="295"/>
      <c r="F20" s="296"/>
      <c r="G20" s="202"/>
      <c r="H20" s="194"/>
      <c r="I20" s="177"/>
      <c r="J20" s="45" t="str">
        <f>"Totals for " &amp; D19 &amp;"…"</f>
        <v>Totals for Feb 20-Feb 22…</v>
      </c>
      <c r="K20" s="228">
        <v>9</v>
      </c>
      <c r="L20" s="61">
        <f t="shared" si="2"/>
        <v>1</v>
      </c>
      <c r="M20" s="297">
        <f t="shared" si="3"/>
        <v>1315</v>
      </c>
      <c r="N20" s="298">
        <f t="shared" ref="N20:AM20" si="18">SUM(N3:N19)</f>
        <v>160</v>
      </c>
      <c r="O20" s="299">
        <f t="shared" si="18"/>
        <v>145</v>
      </c>
      <c r="P20" s="299">
        <f t="shared" si="18"/>
        <v>75</v>
      </c>
      <c r="Q20" s="299">
        <f t="shared" si="18"/>
        <v>145</v>
      </c>
      <c r="R20" s="299">
        <f t="shared" si="18"/>
        <v>0</v>
      </c>
      <c r="S20" s="299">
        <f t="shared" si="18"/>
        <v>70</v>
      </c>
      <c r="T20" s="299">
        <f t="shared" si="18"/>
        <v>0</v>
      </c>
      <c r="U20" s="299">
        <f>SUM(U3:U19)</f>
        <v>150</v>
      </c>
      <c r="V20" s="300">
        <f t="shared" si="18"/>
        <v>75</v>
      </c>
      <c r="W20" s="301">
        <f t="shared" si="18"/>
        <v>140</v>
      </c>
      <c r="X20" s="301">
        <f t="shared" si="18"/>
        <v>0</v>
      </c>
      <c r="Y20" s="301">
        <f t="shared" si="18"/>
        <v>0</v>
      </c>
      <c r="Z20" s="301">
        <f t="shared" si="18"/>
        <v>0</v>
      </c>
      <c r="AA20" s="302">
        <f t="shared" si="18"/>
        <v>70</v>
      </c>
      <c r="AB20" s="302">
        <f t="shared" si="18"/>
        <v>70</v>
      </c>
      <c r="AC20" s="302">
        <f t="shared" si="18"/>
        <v>145</v>
      </c>
      <c r="AD20" s="302">
        <f t="shared" si="18"/>
        <v>70</v>
      </c>
      <c r="AE20" s="302">
        <f t="shared" si="18"/>
        <v>0</v>
      </c>
      <c r="AF20" s="299">
        <f>SUM(AF3:AF19)</f>
        <v>0</v>
      </c>
      <c r="AG20" s="303">
        <f t="shared" si="18"/>
        <v>0</v>
      </c>
      <c r="AH20" s="303">
        <f t="shared" si="18"/>
        <v>0</v>
      </c>
      <c r="AI20" s="301">
        <f t="shared" si="18"/>
        <v>0</v>
      </c>
      <c r="AJ20" s="303">
        <f t="shared" si="18"/>
        <v>0</v>
      </c>
      <c r="AK20" s="304">
        <f t="shared" si="18"/>
        <v>0</v>
      </c>
      <c r="AL20" s="304">
        <f t="shared" si="18"/>
        <v>0</v>
      </c>
      <c r="AM20" s="304">
        <f t="shared" si="18"/>
        <v>0</v>
      </c>
      <c r="AN20" s="305">
        <f>SUM(N20:AM20)</f>
        <v>1315</v>
      </c>
      <c r="AO20" s="306"/>
      <c r="AP20" s="61" t="s">
        <v>35</v>
      </c>
      <c r="AQ20" s="61">
        <v>0</v>
      </c>
    </row>
    <row r="21" spans="1:43" x14ac:dyDescent="0.25">
      <c r="A21" s="218" t="s">
        <v>94</v>
      </c>
      <c r="B21" s="219" t="s">
        <v>89</v>
      </c>
      <c r="C21" s="220">
        <v>2</v>
      </c>
      <c r="D21" s="221" t="s">
        <v>113</v>
      </c>
      <c r="E21" s="222">
        <v>46076</v>
      </c>
      <c r="F21" s="223">
        <v>0.70833333333333337</v>
      </c>
      <c r="G21" s="224" t="s">
        <v>24</v>
      </c>
      <c r="H21" s="225"/>
      <c r="I21" s="226" t="s">
        <v>186</v>
      </c>
      <c r="J21" s="227" t="s">
        <v>188</v>
      </c>
      <c r="K21" s="3">
        <f t="shared" ref="K21:K49" si="19">WEEKDAY(E21)</f>
        <v>2</v>
      </c>
      <c r="L21">
        <f t="shared" si="2"/>
        <v>1</v>
      </c>
      <c r="M21" s="39">
        <f t="shared" si="3"/>
        <v>85</v>
      </c>
      <c r="N21" s="42">
        <f t="shared" ref="N21:N49" si="20">IF(H21&lt;&gt;"",20,10)</f>
        <v>10</v>
      </c>
      <c r="O21" s="39">
        <f t="shared" ref="O21:X30" si="21">IF($G21=O$1,VLOOKUP($J21,$AP:$AQ,2,FALSE),IF($H21=O$1,70,0))</f>
        <v>0</v>
      </c>
      <c r="P21" s="39">
        <f t="shared" si="21"/>
        <v>0</v>
      </c>
      <c r="Q21" s="39">
        <f t="shared" si="21"/>
        <v>0</v>
      </c>
      <c r="R21" s="39">
        <f t="shared" si="21"/>
        <v>75</v>
      </c>
      <c r="S21" s="39">
        <f t="shared" si="21"/>
        <v>0</v>
      </c>
      <c r="T21" s="39">
        <f t="shared" si="21"/>
        <v>0</v>
      </c>
      <c r="U21" s="39">
        <f t="shared" si="21"/>
        <v>0</v>
      </c>
      <c r="V21" s="39">
        <f t="shared" si="21"/>
        <v>0</v>
      </c>
      <c r="W21" s="39">
        <f t="shared" si="21"/>
        <v>0</v>
      </c>
      <c r="X21" s="39">
        <f t="shared" si="21"/>
        <v>0</v>
      </c>
      <c r="Y21" s="39">
        <f t="shared" ref="Y21:AM30" si="22">IF($G21=Y$1,VLOOKUP($J21,$AP:$AQ,2,FALSE),IF($H21=Y$1,70,0))</f>
        <v>0</v>
      </c>
      <c r="Z21" s="39">
        <f t="shared" si="22"/>
        <v>0</v>
      </c>
      <c r="AA21" s="39">
        <f t="shared" si="22"/>
        <v>0</v>
      </c>
      <c r="AB21" s="39">
        <f t="shared" si="22"/>
        <v>0</v>
      </c>
      <c r="AC21" s="39">
        <f t="shared" si="22"/>
        <v>0</v>
      </c>
      <c r="AD21" s="39">
        <f t="shared" si="22"/>
        <v>0</v>
      </c>
      <c r="AE21" s="39">
        <f t="shared" si="22"/>
        <v>0</v>
      </c>
      <c r="AF21" s="39">
        <f t="shared" si="22"/>
        <v>0</v>
      </c>
      <c r="AG21" s="39">
        <f t="shared" si="22"/>
        <v>0</v>
      </c>
      <c r="AH21" s="39">
        <f t="shared" si="22"/>
        <v>0</v>
      </c>
      <c r="AI21" s="39">
        <f t="shared" si="22"/>
        <v>0</v>
      </c>
      <c r="AJ21" s="39">
        <f t="shared" si="22"/>
        <v>0</v>
      </c>
      <c r="AK21" s="39">
        <f t="shared" si="22"/>
        <v>0</v>
      </c>
      <c r="AL21" s="39">
        <f t="shared" si="22"/>
        <v>0</v>
      </c>
      <c r="AM21" s="39">
        <f t="shared" si="22"/>
        <v>0</v>
      </c>
      <c r="AP21" s="61" t="s">
        <v>196</v>
      </c>
      <c r="AQ21" s="61">
        <v>85</v>
      </c>
    </row>
    <row r="22" spans="1:43" x14ac:dyDescent="0.25">
      <c r="A22" s="240" t="s">
        <v>95</v>
      </c>
      <c r="B22" s="241" t="s">
        <v>92</v>
      </c>
      <c r="C22" s="242">
        <v>2</v>
      </c>
      <c r="D22" s="243" t="s">
        <v>113</v>
      </c>
      <c r="E22" s="244">
        <v>46076</v>
      </c>
      <c r="F22" s="245">
        <v>0.70833333333333337</v>
      </c>
      <c r="G22" s="308" t="s">
        <v>21</v>
      </c>
      <c r="H22" s="225"/>
      <c r="I22" s="246" t="s">
        <v>187</v>
      </c>
      <c r="J22" s="247" t="s">
        <v>188</v>
      </c>
      <c r="K22" s="3">
        <f t="shared" si="19"/>
        <v>2</v>
      </c>
      <c r="L22">
        <f t="shared" si="2"/>
        <v>1</v>
      </c>
      <c r="M22" s="39">
        <f t="shared" si="3"/>
        <v>85</v>
      </c>
      <c r="N22" s="42">
        <f t="shared" si="20"/>
        <v>10</v>
      </c>
      <c r="O22" s="39">
        <f t="shared" si="21"/>
        <v>0</v>
      </c>
      <c r="P22" s="39">
        <f t="shared" si="21"/>
        <v>0</v>
      </c>
      <c r="Q22" s="39">
        <f t="shared" si="21"/>
        <v>0</v>
      </c>
      <c r="R22" s="39">
        <f t="shared" si="21"/>
        <v>0</v>
      </c>
      <c r="S22" s="39">
        <f t="shared" si="21"/>
        <v>0</v>
      </c>
      <c r="T22" s="39">
        <f t="shared" si="21"/>
        <v>0</v>
      </c>
      <c r="U22" s="39">
        <f t="shared" si="21"/>
        <v>0</v>
      </c>
      <c r="V22" s="39">
        <f t="shared" si="21"/>
        <v>75</v>
      </c>
      <c r="W22" s="39">
        <f t="shared" si="21"/>
        <v>0</v>
      </c>
      <c r="X22" s="39">
        <f t="shared" si="21"/>
        <v>0</v>
      </c>
      <c r="Y22" s="39">
        <f t="shared" si="22"/>
        <v>0</v>
      </c>
      <c r="Z22" s="39">
        <f t="shared" si="22"/>
        <v>0</v>
      </c>
      <c r="AA22" s="39">
        <f t="shared" si="22"/>
        <v>0</v>
      </c>
      <c r="AB22" s="39">
        <f t="shared" si="22"/>
        <v>0</v>
      </c>
      <c r="AC22" s="39">
        <f t="shared" si="22"/>
        <v>0</v>
      </c>
      <c r="AD22" s="39">
        <f t="shared" si="22"/>
        <v>0</v>
      </c>
      <c r="AE22" s="39">
        <f t="shared" si="22"/>
        <v>0</v>
      </c>
      <c r="AF22" s="39">
        <f t="shared" si="22"/>
        <v>0</v>
      </c>
      <c r="AG22" s="39">
        <f t="shared" si="22"/>
        <v>0</v>
      </c>
      <c r="AH22" s="39">
        <f t="shared" si="22"/>
        <v>0</v>
      </c>
      <c r="AI22" s="39">
        <f t="shared" si="22"/>
        <v>0</v>
      </c>
      <c r="AJ22" s="39">
        <f t="shared" si="22"/>
        <v>0</v>
      </c>
      <c r="AK22" s="39">
        <f t="shared" si="22"/>
        <v>0</v>
      </c>
      <c r="AL22" s="39">
        <f t="shared" si="22"/>
        <v>0</v>
      </c>
      <c r="AM22" s="39">
        <f t="shared" si="22"/>
        <v>0</v>
      </c>
    </row>
    <row r="23" spans="1:43" x14ac:dyDescent="0.25">
      <c r="A23" s="257" t="s">
        <v>96</v>
      </c>
      <c r="B23" s="258" t="s">
        <v>98</v>
      </c>
      <c r="C23" s="259">
        <v>2</v>
      </c>
      <c r="D23" s="260" t="s">
        <v>113</v>
      </c>
      <c r="E23" s="261">
        <v>46077</v>
      </c>
      <c r="F23" s="262">
        <v>0.6875</v>
      </c>
      <c r="G23" s="263" t="s">
        <v>28</v>
      </c>
      <c r="H23" s="225"/>
      <c r="I23" s="264" t="s">
        <v>186</v>
      </c>
      <c r="J23" s="265" t="s">
        <v>188</v>
      </c>
      <c r="K23" s="3">
        <f t="shared" si="19"/>
        <v>3</v>
      </c>
      <c r="L23">
        <f t="shared" si="2"/>
        <v>1</v>
      </c>
      <c r="M23" s="39">
        <f t="shared" si="3"/>
        <v>85</v>
      </c>
      <c r="N23" s="42">
        <f t="shared" si="20"/>
        <v>10</v>
      </c>
      <c r="O23" s="39">
        <f t="shared" si="21"/>
        <v>0</v>
      </c>
      <c r="P23" s="39">
        <f t="shared" si="21"/>
        <v>0</v>
      </c>
      <c r="Q23" s="39">
        <f t="shared" si="21"/>
        <v>0</v>
      </c>
      <c r="R23" s="39">
        <f t="shared" si="21"/>
        <v>0</v>
      </c>
      <c r="S23" s="39">
        <f t="shared" si="21"/>
        <v>0</v>
      </c>
      <c r="T23" s="39">
        <f t="shared" si="21"/>
        <v>0</v>
      </c>
      <c r="U23" s="39">
        <f t="shared" si="21"/>
        <v>0</v>
      </c>
      <c r="V23" s="39">
        <f t="shared" si="21"/>
        <v>0</v>
      </c>
      <c r="W23" s="39">
        <f t="shared" si="21"/>
        <v>0</v>
      </c>
      <c r="X23" s="39">
        <f t="shared" si="21"/>
        <v>0</v>
      </c>
      <c r="Y23" s="39">
        <f t="shared" si="22"/>
        <v>0</v>
      </c>
      <c r="Z23" s="39">
        <f t="shared" si="22"/>
        <v>75</v>
      </c>
      <c r="AA23" s="39">
        <f t="shared" si="22"/>
        <v>0</v>
      </c>
      <c r="AB23" s="39">
        <f t="shared" si="22"/>
        <v>0</v>
      </c>
      <c r="AC23" s="39">
        <f t="shared" si="22"/>
        <v>0</v>
      </c>
      <c r="AD23" s="39">
        <f t="shared" si="22"/>
        <v>0</v>
      </c>
      <c r="AE23" s="39">
        <f t="shared" si="22"/>
        <v>0</v>
      </c>
      <c r="AF23" s="39">
        <f t="shared" si="22"/>
        <v>0</v>
      </c>
      <c r="AG23" s="39">
        <f t="shared" si="22"/>
        <v>0</v>
      </c>
      <c r="AH23" s="39">
        <f t="shared" si="22"/>
        <v>0</v>
      </c>
      <c r="AI23" s="39">
        <f t="shared" si="22"/>
        <v>0</v>
      </c>
      <c r="AJ23" s="39">
        <f t="shared" si="22"/>
        <v>0</v>
      </c>
      <c r="AK23" s="39">
        <f t="shared" si="22"/>
        <v>0</v>
      </c>
      <c r="AL23" s="39">
        <f t="shared" si="22"/>
        <v>0</v>
      </c>
      <c r="AM23" s="39">
        <f t="shared" si="22"/>
        <v>0</v>
      </c>
    </row>
    <row r="24" spans="1:43" x14ac:dyDescent="0.25">
      <c r="A24" s="248" t="s">
        <v>89</v>
      </c>
      <c r="B24" s="249" t="s">
        <v>96</v>
      </c>
      <c r="C24" s="250">
        <v>2</v>
      </c>
      <c r="D24" s="251" t="s">
        <v>113</v>
      </c>
      <c r="E24" s="252">
        <v>46077</v>
      </c>
      <c r="F24" s="253">
        <v>0.79166666666666663</v>
      </c>
      <c r="G24" s="254" t="s">
        <v>24</v>
      </c>
      <c r="H24" s="254" t="s">
        <v>20</v>
      </c>
      <c r="I24" s="255" t="s">
        <v>186</v>
      </c>
      <c r="J24" s="256" t="s">
        <v>190</v>
      </c>
      <c r="K24" s="3">
        <f t="shared" si="19"/>
        <v>3</v>
      </c>
      <c r="L24" t="str">
        <f t="shared" si="2"/>
        <v/>
      </c>
      <c r="M24" s="39">
        <f t="shared" si="3"/>
        <v>165</v>
      </c>
      <c r="N24" s="42">
        <f t="shared" si="20"/>
        <v>20</v>
      </c>
      <c r="O24" s="39">
        <f t="shared" si="21"/>
        <v>0</v>
      </c>
      <c r="P24" s="39">
        <f t="shared" si="21"/>
        <v>0</v>
      </c>
      <c r="Q24" s="39">
        <f t="shared" si="21"/>
        <v>0</v>
      </c>
      <c r="R24" s="39">
        <f t="shared" si="21"/>
        <v>75</v>
      </c>
      <c r="S24" s="39">
        <f t="shared" si="21"/>
        <v>70</v>
      </c>
      <c r="T24" s="39">
        <f t="shared" si="21"/>
        <v>0</v>
      </c>
      <c r="U24" s="39">
        <f t="shared" si="21"/>
        <v>0</v>
      </c>
      <c r="V24" s="39">
        <f t="shared" si="21"/>
        <v>0</v>
      </c>
      <c r="W24" s="39">
        <f t="shared" si="21"/>
        <v>0</v>
      </c>
      <c r="X24" s="39">
        <f t="shared" si="21"/>
        <v>0</v>
      </c>
      <c r="Y24" s="39">
        <f t="shared" si="22"/>
        <v>0</v>
      </c>
      <c r="Z24" s="39">
        <f t="shared" si="22"/>
        <v>0</v>
      </c>
      <c r="AA24" s="39">
        <f t="shared" si="22"/>
        <v>0</v>
      </c>
      <c r="AB24" s="39">
        <f t="shared" si="22"/>
        <v>0</v>
      </c>
      <c r="AC24" s="39">
        <f t="shared" si="22"/>
        <v>0</v>
      </c>
      <c r="AD24" s="39">
        <f t="shared" si="22"/>
        <v>0</v>
      </c>
      <c r="AE24" s="39">
        <f t="shared" si="22"/>
        <v>0</v>
      </c>
      <c r="AF24" s="39">
        <f t="shared" si="22"/>
        <v>0</v>
      </c>
      <c r="AG24" s="39">
        <f t="shared" si="22"/>
        <v>0</v>
      </c>
      <c r="AH24" s="39">
        <f t="shared" si="22"/>
        <v>0</v>
      </c>
      <c r="AI24" s="39">
        <f t="shared" si="22"/>
        <v>0</v>
      </c>
      <c r="AJ24" s="39">
        <f t="shared" si="22"/>
        <v>0</v>
      </c>
      <c r="AK24" s="39">
        <f t="shared" si="22"/>
        <v>0</v>
      </c>
      <c r="AL24" s="39">
        <f t="shared" si="22"/>
        <v>0</v>
      </c>
      <c r="AM24" s="39">
        <f t="shared" si="22"/>
        <v>0</v>
      </c>
    </row>
    <row r="25" spans="1:43" x14ac:dyDescent="0.25">
      <c r="A25" s="309" t="s">
        <v>100</v>
      </c>
      <c r="B25" s="310" t="s">
        <v>94</v>
      </c>
      <c r="C25" s="311">
        <v>2</v>
      </c>
      <c r="D25" s="312" t="s">
        <v>113</v>
      </c>
      <c r="E25" s="313">
        <v>46077</v>
      </c>
      <c r="F25" s="314">
        <v>0.6875</v>
      </c>
      <c r="G25" s="315" t="s">
        <v>20</v>
      </c>
      <c r="H25" s="225"/>
      <c r="I25" s="316" t="s">
        <v>187</v>
      </c>
      <c r="J25" s="317" t="s">
        <v>189</v>
      </c>
      <c r="K25" s="3">
        <f t="shared" si="19"/>
        <v>3</v>
      </c>
      <c r="L25">
        <f t="shared" si="2"/>
        <v>1</v>
      </c>
      <c r="M25" s="39">
        <f t="shared" si="3"/>
        <v>80</v>
      </c>
      <c r="N25" s="42">
        <f t="shared" si="20"/>
        <v>10</v>
      </c>
      <c r="O25" s="39">
        <f t="shared" si="21"/>
        <v>0</v>
      </c>
      <c r="P25" s="39">
        <f t="shared" si="21"/>
        <v>0</v>
      </c>
      <c r="Q25" s="39">
        <f t="shared" si="21"/>
        <v>0</v>
      </c>
      <c r="R25" s="39">
        <f t="shared" si="21"/>
        <v>0</v>
      </c>
      <c r="S25" s="39">
        <f t="shared" si="21"/>
        <v>70</v>
      </c>
      <c r="T25" s="39">
        <f t="shared" si="21"/>
        <v>0</v>
      </c>
      <c r="U25" s="39">
        <f t="shared" si="21"/>
        <v>0</v>
      </c>
      <c r="V25" s="39">
        <f t="shared" si="21"/>
        <v>0</v>
      </c>
      <c r="W25" s="39">
        <f t="shared" si="21"/>
        <v>0</v>
      </c>
      <c r="X25" s="39">
        <f t="shared" si="21"/>
        <v>0</v>
      </c>
      <c r="Y25" s="39">
        <f t="shared" si="22"/>
        <v>0</v>
      </c>
      <c r="Z25" s="39">
        <f t="shared" si="22"/>
        <v>0</v>
      </c>
      <c r="AA25" s="39">
        <f t="shared" si="22"/>
        <v>0</v>
      </c>
      <c r="AB25" s="39">
        <f t="shared" si="22"/>
        <v>0</v>
      </c>
      <c r="AC25" s="39">
        <f t="shared" si="22"/>
        <v>0</v>
      </c>
      <c r="AD25" s="39">
        <f t="shared" si="22"/>
        <v>0</v>
      </c>
      <c r="AE25" s="39">
        <f t="shared" si="22"/>
        <v>0</v>
      </c>
      <c r="AF25" s="39">
        <f t="shared" si="22"/>
        <v>0</v>
      </c>
      <c r="AG25" s="39">
        <f t="shared" si="22"/>
        <v>0</v>
      </c>
      <c r="AH25" s="39">
        <f t="shared" si="22"/>
        <v>0</v>
      </c>
      <c r="AI25" s="39">
        <f t="shared" si="22"/>
        <v>0</v>
      </c>
      <c r="AJ25" s="39">
        <f t="shared" si="22"/>
        <v>0</v>
      </c>
      <c r="AK25" s="39">
        <f t="shared" si="22"/>
        <v>0</v>
      </c>
      <c r="AL25" s="39">
        <f t="shared" si="22"/>
        <v>0</v>
      </c>
      <c r="AM25" s="39">
        <f t="shared" si="22"/>
        <v>0</v>
      </c>
    </row>
    <row r="26" spans="1:43" x14ac:dyDescent="0.25">
      <c r="A26" s="257" t="s">
        <v>99</v>
      </c>
      <c r="B26" s="258" t="s">
        <v>97</v>
      </c>
      <c r="C26" s="259">
        <v>2</v>
      </c>
      <c r="D26" s="260" t="s">
        <v>113</v>
      </c>
      <c r="E26" s="261">
        <v>46077</v>
      </c>
      <c r="F26" s="262">
        <v>0.79166666666666663</v>
      </c>
      <c r="G26" s="263" t="s">
        <v>19</v>
      </c>
      <c r="H26" s="225"/>
      <c r="I26" s="264" t="s">
        <v>187</v>
      </c>
      <c r="J26" s="265" t="s">
        <v>188</v>
      </c>
      <c r="K26" s="3">
        <f t="shared" si="19"/>
        <v>3</v>
      </c>
      <c r="L26">
        <f t="shared" si="2"/>
        <v>1</v>
      </c>
      <c r="M26" s="39">
        <f t="shared" si="3"/>
        <v>85</v>
      </c>
      <c r="N26" s="42">
        <f t="shared" si="20"/>
        <v>10</v>
      </c>
      <c r="O26" s="39">
        <f t="shared" si="21"/>
        <v>75</v>
      </c>
      <c r="P26" s="39">
        <f t="shared" si="21"/>
        <v>0</v>
      </c>
      <c r="Q26" s="39">
        <f t="shared" si="21"/>
        <v>0</v>
      </c>
      <c r="R26" s="39">
        <f t="shared" si="21"/>
        <v>0</v>
      </c>
      <c r="S26" s="39">
        <f t="shared" si="21"/>
        <v>0</v>
      </c>
      <c r="T26" s="39">
        <f t="shared" si="21"/>
        <v>0</v>
      </c>
      <c r="U26" s="39">
        <f t="shared" si="21"/>
        <v>0</v>
      </c>
      <c r="V26" s="39">
        <f t="shared" si="21"/>
        <v>0</v>
      </c>
      <c r="W26" s="39">
        <f t="shared" si="21"/>
        <v>0</v>
      </c>
      <c r="X26" s="39">
        <f t="shared" si="21"/>
        <v>0</v>
      </c>
      <c r="Y26" s="39">
        <f t="shared" si="22"/>
        <v>0</v>
      </c>
      <c r="Z26" s="39">
        <f t="shared" si="22"/>
        <v>0</v>
      </c>
      <c r="AA26" s="39">
        <f t="shared" si="22"/>
        <v>0</v>
      </c>
      <c r="AB26" s="39">
        <f t="shared" si="22"/>
        <v>0</v>
      </c>
      <c r="AC26" s="39">
        <f t="shared" si="22"/>
        <v>0</v>
      </c>
      <c r="AD26" s="39">
        <f t="shared" si="22"/>
        <v>0</v>
      </c>
      <c r="AE26" s="39">
        <f t="shared" si="22"/>
        <v>0</v>
      </c>
      <c r="AF26" s="39">
        <f t="shared" si="22"/>
        <v>0</v>
      </c>
      <c r="AG26" s="39">
        <f t="shared" si="22"/>
        <v>0</v>
      </c>
      <c r="AH26" s="39">
        <f t="shared" si="22"/>
        <v>0</v>
      </c>
      <c r="AI26" s="39">
        <f t="shared" si="22"/>
        <v>0</v>
      </c>
      <c r="AJ26" s="39">
        <f t="shared" si="22"/>
        <v>0</v>
      </c>
      <c r="AK26" s="39">
        <f t="shared" si="22"/>
        <v>0</v>
      </c>
      <c r="AL26" s="39">
        <f t="shared" si="22"/>
        <v>0</v>
      </c>
      <c r="AM26" s="39">
        <f t="shared" si="22"/>
        <v>0</v>
      </c>
    </row>
    <row r="27" spans="1:43" x14ac:dyDescent="0.25">
      <c r="A27" s="231" t="s">
        <v>94</v>
      </c>
      <c r="B27" s="232" t="s">
        <v>93</v>
      </c>
      <c r="C27" s="233">
        <v>2</v>
      </c>
      <c r="D27" s="234" t="s">
        <v>113</v>
      </c>
      <c r="E27" s="235">
        <v>46078</v>
      </c>
      <c r="F27" s="236">
        <v>0.70833333333333337</v>
      </c>
      <c r="G27" s="237" t="s">
        <v>21</v>
      </c>
      <c r="H27" s="237" t="s">
        <v>73</v>
      </c>
      <c r="I27" s="238" t="s">
        <v>186</v>
      </c>
      <c r="J27" s="239" t="s">
        <v>190</v>
      </c>
      <c r="K27" s="3">
        <f t="shared" si="19"/>
        <v>4</v>
      </c>
      <c r="L27" t="str">
        <f t="shared" si="2"/>
        <v/>
      </c>
      <c r="M27" s="39">
        <f t="shared" si="3"/>
        <v>165</v>
      </c>
      <c r="N27" s="42">
        <f t="shared" si="20"/>
        <v>20</v>
      </c>
      <c r="O27" s="39">
        <f t="shared" si="21"/>
        <v>0</v>
      </c>
      <c r="P27" s="39">
        <f t="shared" si="21"/>
        <v>0</v>
      </c>
      <c r="Q27" s="39">
        <f t="shared" si="21"/>
        <v>0</v>
      </c>
      <c r="R27" s="39">
        <f t="shared" si="21"/>
        <v>0</v>
      </c>
      <c r="S27" s="39">
        <f t="shared" si="21"/>
        <v>0</v>
      </c>
      <c r="T27" s="39">
        <f t="shared" si="21"/>
        <v>70</v>
      </c>
      <c r="U27" s="39">
        <f t="shared" si="21"/>
        <v>0</v>
      </c>
      <c r="V27" s="39">
        <f t="shared" si="21"/>
        <v>75</v>
      </c>
      <c r="W27" s="39">
        <f t="shared" si="21"/>
        <v>0</v>
      </c>
      <c r="X27" s="39">
        <f t="shared" si="21"/>
        <v>0</v>
      </c>
      <c r="Y27" s="39">
        <f t="shared" si="22"/>
        <v>0</v>
      </c>
      <c r="Z27" s="39">
        <f t="shared" si="22"/>
        <v>0</v>
      </c>
      <c r="AA27" s="39">
        <f t="shared" si="22"/>
        <v>0</v>
      </c>
      <c r="AB27" s="39">
        <f t="shared" si="22"/>
        <v>0</v>
      </c>
      <c r="AC27" s="39">
        <f t="shared" si="22"/>
        <v>0</v>
      </c>
      <c r="AD27" s="39">
        <f t="shared" si="22"/>
        <v>0</v>
      </c>
      <c r="AE27" s="39">
        <f t="shared" si="22"/>
        <v>0</v>
      </c>
      <c r="AF27" s="39">
        <f t="shared" si="22"/>
        <v>0</v>
      </c>
      <c r="AG27" s="39">
        <f t="shared" si="22"/>
        <v>0</v>
      </c>
      <c r="AH27" s="39">
        <f t="shared" si="22"/>
        <v>0</v>
      </c>
      <c r="AI27" s="39">
        <f t="shared" si="22"/>
        <v>0</v>
      </c>
      <c r="AJ27" s="39">
        <f t="shared" si="22"/>
        <v>0</v>
      </c>
      <c r="AK27" s="39">
        <f t="shared" si="22"/>
        <v>0</v>
      </c>
      <c r="AL27" s="39">
        <f t="shared" si="22"/>
        <v>0</v>
      </c>
      <c r="AM27" s="39">
        <f t="shared" si="22"/>
        <v>0</v>
      </c>
    </row>
    <row r="28" spans="1:43" x14ac:dyDescent="0.25">
      <c r="A28" s="318" t="s">
        <v>92</v>
      </c>
      <c r="B28" s="319" t="s">
        <v>95</v>
      </c>
      <c r="C28" s="320">
        <v>2</v>
      </c>
      <c r="D28" s="321" t="s">
        <v>113</v>
      </c>
      <c r="E28" s="322">
        <v>46078</v>
      </c>
      <c r="F28" s="323">
        <v>0.70833333333333337</v>
      </c>
      <c r="G28" s="324" t="s">
        <v>77</v>
      </c>
      <c r="H28" s="225"/>
      <c r="I28" s="325" t="s">
        <v>187</v>
      </c>
      <c r="J28" s="326" t="s">
        <v>189</v>
      </c>
      <c r="K28" s="3">
        <f t="shared" si="19"/>
        <v>4</v>
      </c>
      <c r="L28">
        <f t="shared" si="2"/>
        <v>1</v>
      </c>
      <c r="M28" s="39">
        <f t="shared" si="3"/>
        <v>80</v>
      </c>
      <c r="N28" s="42">
        <f t="shared" si="20"/>
        <v>10</v>
      </c>
      <c r="O28" s="39">
        <f t="shared" si="21"/>
        <v>0</v>
      </c>
      <c r="P28" s="39">
        <f t="shared" si="21"/>
        <v>0</v>
      </c>
      <c r="Q28" s="39">
        <f t="shared" si="21"/>
        <v>0</v>
      </c>
      <c r="R28" s="39">
        <f t="shared" si="21"/>
        <v>0</v>
      </c>
      <c r="S28" s="39">
        <f t="shared" si="21"/>
        <v>0</v>
      </c>
      <c r="T28" s="39">
        <f t="shared" si="21"/>
        <v>0</v>
      </c>
      <c r="U28" s="39">
        <f t="shared" si="21"/>
        <v>0</v>
      </c>
      <c r="V28" s="39">
        <f t="shared" si="21"/>
        <v>0</v>
      </c>
      <c r="W28" s="39">
        <f t="shared" si="21"/>
        <v>0</v>
      </c>
      <c r="X28" s="39">
        <f t="shared" si="21"/>
        <v>0</v>
      </c>
      <c r="Y28" s="39">
        <f t="shared" si="22"/>
        <v>70</v>
      </c>
      <c r="Z28" s="39">
        <f t="shared" si="22"/>
        <v>0</v>
      </c>
      <c r="AA28" s="39">
        <f t="shared" si="22"/>
        <v>0</v>
      </c>
      <c r="AB28" s="39">
        <f t="shared" si="22"/>
        <v>0</v>
      </c>
      <c r="AC28" s="39">
        <f t="shared" si="22"/>
        <v>0</v>
      </c>
      <c r="AD28" s="39">
        <f t="shared" si="22"/>
        <v>0</v>
      </c>
      <c r="AE28" s="39">
        <f t="shared" si="22"/>
        <v>0</v>
      </c>
      <c r="AF28" s="39">
        <f t="shared" si="22"/>
        <v>0</v>
      </c>
      <c r="AG28" s="39">
        <f t="shared" si="22"/>
        <v>0</v>
      </c>
      <c r="AH28" s="39">
        <f t="shared" si="22"/>
        <v>0</v>
      </c>
      <c r="AI28" s="39">
        <f t="shared" si="22"/>
        <v>0</v>
      </c>
      <c r="AJ28" s="39">
        <f t="shared" si="22"/>
        <v>0</v>
      </c>
      <c r="AK28" s="39">
        <f t="shared" si="22"/>
        <v>0</v>
      </c>
      <c r="AL28" s="39">
        <f t="shared" si="22"/>
        <v>0</v>
      </c>
      <c r="AM28" s="39">
        <f t="shared" si="22"/>
        <v>0</v>
      </c>
    </row>
    <row r="29" spans="1:43" x14ac:dyDescent="0.25">
      <c r="A29" s="309" t="s">
        <v>98</v>
      </c>
      <c r="B29" s="310" t="s">
        <v>89</v>
      </c>
      <c r="C29" s="311">
        <v>2</v>
      </c>
      <c r="D29" s="312" t="s">
        <v>113</v>
      </c>
      <c r="E29" s="313">
        <v>46079</v>
      </c>
      <c r="F29" s="314">
        <v>0.6875</v>
      </c>
      <c r="G29" s="315" t="s">
        <v>20</v>
      </c>
      <c r="H29" s="225"/>
      <c r="I29" s="316" t="s">
        <v>186</v>
      </c>
      <c r="J29" s="317" t="s">
        <v>189</v>
      </c>
      <c r="K29" s="3">
        <f t="shared" si="19"/>
        <v>5</v>
      </c>
      <c r="L29">
        <f t="shared" si="2"/>
        <v>1</v>
      </c>
      <c r="M29" s="39">
        <f t="shared" si="3"/>
        <v>80</v>
      </c>
      <c r="N29" s="42">
        <f t="shared" si="20"/>
        <v>10</v>
      </c>
      <c r="O29" s="39">
        <f t="shared" si="21"/>
        <v>0</v>
      </c>
      <c r="P29" s="39">
        <f t="shared" si="21"/>
        <v>0</v>
      </c>
      <c r="Q29" s="39">
        <f t="shared" si="21"/>
        <v>0</v>
      </c>
      <c r="R29" s="39">
        <f t="shared" si="21"/>
        <v>0</v>
      </c>
      <c r="S29" s="39">
        <f t="shared" si="21"/>
        <v>70</v>
      </c>
      <c r="T29" s="39">
        <f t="shared" si="21"/>
        <v>0</v>
      </c>
      <c r="U29" s="39">
        <f t="shared" si="21"/>
        <v>0</v>
      </c>
      <c r="V29" s="39">
        <f t="shared" si="21"/>
        <v>0</v>
      </c>
      <c r="W29" s="39">
        <f t="shared" si="21"/>
        <v>0</v>
      </c>
      <c r="X29" s="39">
        <f t="shared" si="21"/>
        <v>0</v>
      </c>
      <c r="Y29" s="39">
        <f t="shared" si="22"/>
        <v>0</v>
      </c>
      <c r="Z29" s="39">
        <f t="shared" si="22"/>
        <v>0</v>
      </c>
      <c r="AA29" s="39">
        <f t="shared" si="22"/>
        <v>0</v>
      </c>
      <c r="AB29" s="39">
        <f t="shared" si="22"/>
        <v>0</v>
      </c>
      <c r="AC29" s="39">
        <f t="shared" si="22"/>
        <v>0</v>
      </c>
      <c r="AD29" s="39">
        <f t="shared" si="22"/>
        <v>0</v>
      </c>
      <c r="AE29" s="39">
        <f t="shared" si="22"/>
        <v>0</v>
      </c>
      <c r="AF29" s="39">
        <f t="shared" si="22"/>
        <v>0</v>
      </c>
      <c r="AG29" s="39">
        <f t="shared" si="22"/>
        <v>0</v>
      </c>
      <c r="AH29" s="39">
        <f t="shared" si="22"/>
        <v>0</v>
      </c>
      <c r="AI29" s="39">
        <f t="shared" si="22"/>
        <v>0</v>
      </c>
      <c r="AJ29" s="39">
        <f t="shared" si="22"/>
        <v>0</v>
      </c>
      <c r="AK29" s="39">
        <f t="shared" si="22"/>
        <v>0</v>
      </c>
      <c r="AL29" s="39">
        <f t="shared" si="22"/>
        <v>0</v>
      </c>
      <c r="AM29" s="39">
        <f t="shared" si="22"/>
        <v>0</v>
      </c>
    </row>
    <row r="30" spans="1:43" x14ac:dyDescent="0.25">
      <c r="A30" s="248" t="s">
        <v>92</v>
      </c>
      <c r="B30" s="249" t="s">
        <v>97</v>
      </c>
      <c r="C30" s="250">
        <v>2</v>
      </c>
      <c r="D30" s="251" t="s">
        <v>113</v>
      </c>
      <c r="E30" s="252">
        <v>46079</v>
      </c>
      <c r="F30" s="253">
        <v>0.79166666666666663</v>
      </c>
      <c r="G30" s="254" t="s">
        <v>19</v>
      </c>
      <c r="H30" s="254" t="s">
        <v>20</v>
      </c>
      <c r="I30" s="255" t="s">
        <v>186</v>
      </c>
      <c r="J30" s="256" t="s">
        <v>190</v>
      </c>
      <c r="K30" s="3">
        <f t="shared" si="19"/>
        <v>5</v>
      </c>
      <c r="L30" t="str">
        <f t="shared" si="2"/>
        <v/>
      </c>
      <c r="M30" s="39">
        <f t="shared" si="3"/>
        <v>165</v>
      </c>
      <c r="N30" s="42">
        <f t="shared" si="20"/>
        <v>20</v>
      </c>
      <c r="O30" s="39">
        <f t="shared" si="21"/>
        <v>75</v>
      </c>
      <c r="P30" s="39">
        <f t="shared" si="21"/>
        <v>0</v>
      </c>
      <c r="Q30" s="39">
        <f t="shared" si="21"/>
        <v>0</v>
      </c>
      <c r="R30" s="39">
        <f t="shared" si="21"/>
        <v>0</v>
      </c>
      <c r="S30" s="39">
        <f t="shared" si="21"/>
        <v>70</v>
      </c>
      <c r="T30" s="39">
        <f t="shared" si="21"/>
        <v>0</v>
      </c>
      <c r="U30" s="39">
        <f t="shared" si="21"/>
        <v>0</v>
      </c>
      <c r="V30" s="39">
        <f t="shared" si="21"/>
        <v>0</v>
      </c>
      <c r="W30" s="39">
        <f t="shared" si="21"/>
        <v>0</v>
      </c>
      <c r="X30" s="39">
        <f t="shared" si="21"/>
        <v>0</v>
      </c>
      <c r="Y30" s="39">
        <f t="shared" si="22"/>
        <v>0</v>
      </c>
      <c r="Z30" s="39">
        <f t="shared" si="22"/>
        <v>0</v>
      </c>
      <c r="AA30" s="39">
        <f t="shared" si="22"/>
        <v>0</v>
      </c>
      <c r="AB30" s="39">
        <f t="shared" si="22"/>
        <v>0</v>
      </c>
      <c r="AC30" s="39">
        <f t="shared" si="22"/>
        <v>0</v>
      </c>
      <c r="AD30" s="39">
        <f t="shared" si="22"/>
        <v>0</v>
      </c>
      <c r="AE30" s="39">
        <f t="shared" si="22"/>
        <v>0</v>
      </c>
      <c r="AF30" s="39">
        <f t="shared" si="22"/>
        <v>0</v>
      </c>
      <c r="AG30" s="39">
        <f t="shared" si="22"/>
        <v>0</v>
      </c>
      <c r="AH30" s="39">
        <f t="shared" si="22"/>
        <v>0</v>
      </c>
      <c r="AI30" s="39">
        <f t="shared" si="22"/>
        <v>0</v>
      </c>
      <c r="AJ30" s="39">
        <f t="shared" si="22"/>
        <v>0</v>
      </c>
      <c r="AK30" s="39">
        <f t="shared" si="22"/>
        <v>0</v>
      </c>
      <c r="AL30" s="39">
        <f t="shared" si="22"/>
        <v>0</v>
      </c>
      <c r="AM30" s="39">
        <f t="shared" si="22"/>
        <v>0</v>
      </c>
    </row>
    <row r="31" spans="1:43" x14ac:dyDescent="0.25">
      <c r="A31" s="309" t="s">
        <v>99</v>
      </c>
      <c r="B31" s="310" t="s">
        <v>97</v>
      </c>
      <c r="C31" s="311">
        <v>2</v>
      </c>
      <c r="D31" s="312" t="s">
        <v>113</v>
      </c>
      <c r="E31" s="313">
        <v>46079</v>
      </c>
      <c r="F31" s="314">
        <v>0.6875</v>
      </c>
      <c r="G31" s="315" t="s">
        <v>107</v>
      </c>
      <c r="H31" s="225"/>
      <c r="I31" s="316" t="s">
        <v>187</v>
      </c>
      <c r="J31" s="317" t="s">
        <v>189</v>
      </c>
      <c r="K31" s="3">
        <f t="shared" si="19"/>
        <v>5</v>
      </c>
      <c r="L31">
        <f t="shared" si="2"/>
        <v>1</v>
      </c>
      <c r="M31" s="39">
        <f t="shared" si="3"/>
        <v>80</v>
      </c>
      <c r="N31" s="42">
        <f t="shared" si="20"/>
        <v>10</v>
      </c>
      <c r="O31" s="39">
        <f t="shared" ref="O31:X42" si="23">IF($G31=O$1,VLOOKUP($J31,$AP:$AQ,2,FALSE),IF($H31=O$1,70,0))</f>
        <v>0</v>
      </c>
      <c r="P31" s="39">
        <f t="shared" si="23"/>
        <v>0</v>
      </c>
      <c r="Q31" s="39">
        <f t="shared" si="23"/>
        <v>0</v>
      </c>
      <c r="R31" s="39">
        <f t="shared" si="23"/>
        <v>0</v>
      </c>
      <c r="S31" s="39">
        <f t="shared" si="23"/>
        <v>0</v>
      </c>
      <c r="T31" s="39">
        <f t="shared" si="23"/>
        <v>0</v>
      </c>
      <c r="U31" s="39">
        <f t="shared" si="23"/>
        <v>0</v>
      </c>
      <c r="V31" s="39">
        <f t="shared" si="23"/>
        <v>0</v>
      </c>
      <c r="W31" s="39">
        <f t="shared" si="23"/>
        <v>0</v>
      </c>
      <c r="X31" s="39">
        <f t="shared" si="23"/>
        <v>0</v>
      </c>
      <c r="Y31" s="39">
        <f t="shared" ref="Y31:AM42" si="24">IF($G31=Y$1,VLOOKUP($J31,$AP:$AQ,2,FALSE),IF($H31=Y$1,70,0))</f>
        <v>0</v>
      </c>
      <c r="Z31" s="39">
        <f t="shared" si="24"/>
        <v>0</v>
      </c>
      <c r="AA31" s="39">
        <f t="shared" si="24"/>
        <v>0</v>
      </c>
      <c r="AB31" s="39">
        <f t="shared" si="24"/>
        <v>0</v>
      </c>
      <c r="AC31" s="39">
        <f t="shared" si="24"/>
        <v>0</v>
      </c>
      <c r="AD31" s="39">
        <f t="shared" si="24"/>
        <v>70</v>
      </c>
      <c r="AE31" s="39">
        <f t="shared" si="24"/>
        <v>0</v>
      </c>
      <c r="AF31" s="39">
        <f t="shared" si="24"/>
        <v>0</v>
      </c>
      <c r="AG31" s="39">
        <f t="shared" si="24"/>
        <v>0</v>
      </c>
      <c r="AH31" s="39">
        <f t="shared" si="24"/>
        <v>0</v>
      </c>
      <c r="AI31" s="39">
        <f t="shared" si="24"/>
        <v>0</v>
      </c>
      <c r="AJ31" s="39">
        <f t="shared" si="24"/>
        <v>0</v>
      </c>
      <c r="AK31" s="39">
        <f t="shared" si="24"/>
        <v>0</v>
      </c>
      <c r="AL31" s="39">
        <f t="shared" si="24"/>
        <v>0</v>
      </c>
      <c r="AM31" s="39">
        <f t="shared" si="24"/>
        <v>0</v>
      </c>
    </row>
    <row r="32" spans="1:43" x14ac:dyDescent="0.25">
      <c r="A32" s="257" t="s">
        <v>90</v>
      </c>
      <c r="B32" s="258" t="s">
        <v>93</v>
      </c>
      <c r="C32" s="259">
        <v>2</v>
      </c>
      <c r="D32" s="260" t="s">
        <v>113</v>
      </c>
      <c r="E32" s="261">
        <v>46079</v>
      </c>
      <c r="F32" s="262">
        <v>0.79166666666666663</v>
      </c>
      <c r="G32" s="263" t="s">
        <v>21</v>
      </c>
      <c r="H32" s="225"/>
      <c r="I32" s="264" t="s">
        <v>187</v>
      </c>
      <c r="J32" s="265" t="s">
        <v>188</v>
      </c>
      <c r="K32" s="3">
        <f t="shared" si="19"/>
        <v>5</v>
      </c>
      <c r="L32">
        <f t="shared" si="2"/>
        <v>1</v>
      </c>
      <c r="M32" s="39">
        <f t="shared" si="3"/>
        <v>85</v>
      </c>
      <c r="N32" s="42">
        <f t="shared" si="20"/>
        <v>10</v>
      </c>
      <c r="O32" s="39">
        <f t="shared" si="23"/>
        <v>0</v>
      </c>
      <c r="P32" s="39">
        <f t="shared" si="23"/>
        <v>0</v>
      </c>
      <c r="Q32" s="39">
        <f t="shared" si="23"/>
        <v>0</v>
      </c>
      <c r="R32" s="39">
        <f t="shared" si="23"/>
        <v>0</v>
      </c>
      <c r="S32" s="39">
        <f t="shared" si="23"/>
        <v>0</v>
      </c>
      <c r="T32" s="39">
        <f t="shared" si="23"/>
        <v>0</v>
      </c>
      <c r="U32" s="39">
        <f t="shared" si="23"/>
        <v>0</v>
      </c>
      <c r="V32" s="39">
        <f t="shared" si="23"/>
        <v>75</v>
      </c>
      <c r="W32" s="39">
        <f t="shared" si="23"/>
        <v>0</v>
      </c>
      <c r="X32" s="39">
        <f t="shared" si="23"/>
        <v>0</v>
      </c>
      <c r="Y32" s="39">
        <f t="shared" si="24"/>
        <v>0</v>
      </c>
      <c r="Z32" s="39">
        <f t="shared" si="24"/>
        <v>0</v>
      </c>
      <c r="AA32" s="39">
        <f t="shared" si="24"/>
        <v>0</v>
      </c>
      <c r="AB32" s="39">
        <f t="shared" si="24"/>
        <v>0</v>
      </c>
      <c r="AC32" s="39">
        <f t="shared" si="24"/>
        <v>0</v>
      </c>
      <c r="AD32" s="39">
        <f t="shared" si="24"/>
        <v>0</v>
      </c>
      <c r="AE32" s="39">
        <f t="shared" si="24"/>
        <v>0</v>
      </c>
      <c r="AF32" s="39">
        <f t="shared" si="24"/>
        <v>0</v>
      </c>
      <c r="AG32" s="39">
        <f t="shared" si="24"/>
        <v>0</v>
      </c>
      <c r="AH32" s="39">
        <f t="shared" si="24"/>
        <v>0</v>
      </c>
      <c r="AI32" s="39">
        <f t="shared" si="24"/>
        <v>0</v>
      </c>
      <c r="AJ32" s="39">
        <f t="shared" si="24"/>
        <v>0</v>
      </c>
      <c r="AK32" s="39">
        <f t="shared" si="24"/>
        <v>0</v>
      </c>
      <c r="AL32" s="39">
        <f t="shared" si="24"/>
        <v>0</v>
      </c>
      <c r="AM32" s="39">
        <f t="shared" si="24"/>
        <v>0</v>
      </c>
    </row>
    <row r="33" spans="1:39" x14ac:dyDescent="0.25">
      <c r="A33" s="318" t="s">
        <v>90</v>
      </c>
      <c r="B33" s="319" t="s">
        <v>93</v>
      </c>
      <c r="C33" s="320">
        <v>2</v>
      </c>
      <c r="D33" s="321" t="s">
        <v>113</v>
      </c>
      <c r="E33" s="322">
        <v>46080</v>
      </c>
      <c r="F33" s="323">
        <v>0.70833333333333337</v>
      </c>
      <c r="G33" s="324" t="s">
        <v>102</v>
      </c>
      <c r="H33" s="225"/>
      <c r="I33" s="325" t="s">
        <v>186</v>
      </c>
      <c r="J33" s="326" t="s">
        <v>189</v>
      </c>
      <c r="K33" s="3">
        <f t="shared" si="19"/>
        <v>6</v>
      </c>
      <c r="L33">
        <f t="shared" si="2"/>
        <v>1</v>
      </c>
      <c r="M33" s="39">
        <f t="shared" si="3"/>
        <v>80</v>
      </c>
      <c r="N33" s="42">
        <f t="shared" si="20"/>
        <v>10</v>
      </c>
      <c r="O33" s="39">
        <f t="shared" si="23"/>
        <v>0</v>
      </c>
      <c r="P33" s="39">
        <f t="shared" si="23"/>
        <v>0</v>
      </c>
      <c r="Q33" s="39">
        <f t="shared" si="23"/>
        <v>0</v>
      </c>
      <c r="R33" s="39">
        <f t="shared" si="23"/>
        <v>0</v>
      </c>
      <c r="S33" s="39">
        <f t="shared" si="23"/>
        <v>0</v>
      </c>
      <c r="T33" s="39">
        <f t="shared" si="23"/>
        <v>0</v>
      </c>
      <c r="U33" s="39">
        <f t="shared" si="23"/>
        <v>0</v>
      </c>
      <c r="V33" s="39">
        <f t="shared" si="23"/>
        <v>0</v>
      </c>
      <c r="W33" s="39">
        <f t="shared" si="23"/>
        <v>70</v>
      </c>
      <c r="X33" s="39">
        <f t="shared" si="23"/>
        <v>0</v>
      </c>
      <c r="Y33" s="39">
        <f t="shared" si="24"/>
        <v>0</v>
      </c>
      <c r="Z33" s="39">
        <f t="shared" si="24"/>
        <v>0</v>
      </c>
      <c r="AA33" s="39">
        <f t="shared" si="24"/>
        <v>0</v>
      </c>
      <c r="AB33" s="39">
        <f t="shared" si="24"/>
        <v>0</v>
      </c>
      <c r="AC33" s="39">
        <f t="shared" si="24"/>
        <v>0</v>
      </c>
      <c r="AD33" s="39">
        <f t="shared" si="24"/>
        <v>0</v>
      </c>
      <c r="AE33" s="39">
        <f t="shared" si="24"/>
        <v>0</v>
      </c>
      <c r="AF33" s="39">
        <f t="shared" si="24"/>
        <v>0</v>
      </c>
      <c r="AG33" s="39">
        <f t="shared" si="24"/>
        <v>0</v>
      </c>
      <c r="AH33" s="39">
        <f t="shared" si="24"/>
        <v>0</v>
      </c>
      <c r="AI33" s="39">
        <f t="shared" si="24"/>
        <v>0</v>
      </c>
      <c r="AJ33" s="39">
        <f t="shared" si="24"/>
        <v>0</v>
      </c>
      <c r="AK33" s="39">
        <f t="shared" si="24"/>
        <v>0</v>
      </c>
      <c r="AL33" s="39">
        <f t="shared" si="24"/>
        <v>0</v>
      </c>
      <c r="AM33" s="39">
        <f t="shared" si="24"/>
        <v>0</v>
      </c>
    </row>
    <row r="34" spans="1:39" x14ac:dyDescent="0.25">
      <c r="A34" s="318" t="s">
        <v>101</v>
      </c>
      <c r="B34" s="319" t="s">
        <v>96</v>
      </c>
      <c r="C34" s="320">
        <v>2</v>
      </c>
      <c r="D34" s="321" t="s">
        <v>113</v>
      </c>
      <c r="E34" s="322">
        <v>46080</v>
      </c>
      <c r="F34" s="323">
        <v>0.70833333333333337</v>
      </c>
      <c r="G34" s="324" t="s">
        <v>106</v>
      </c>
      <c r="H34" s="225"/>
      <c r="I34" s="325" t="s">
        <v>187</v>
      </c>
      <c r="J34" s="326" t="s">
        <v>189</v>
      </c>
      <c r="K34" s="3">
        <f t="shared" si="19"/>
        <v>6</v>
      </c>
      <c r="L34">
        <f t="shared" si="2"/>
        <v>1</v>
      </c>
      <c r="M34" s="39">
        <f t="shared" si="3"/>
        <v>80</v>
      </c>
      <c r="N34" s="42">
        <f t="shared" si="20"/>
        <v>10</v>
      </c>
      <c r="O34" s="39">
        <f t="shared" si="23"/>
        <v>0</v>
      </c>
      <c r="P34" s="39">
        <f t="shared" si="23"/>
        <v>0</v>
      </c>
      <c r="Q34" s="39">
        <f t="shared" si="23"/>
        <v>0</v>
      </c>
      <c r="R34" s="39">
        <f t="shared" si="23"/>
        <v>0</v>
      </c>
      <c r="S34" s="39">
        <f t="shared" si="23"/>
        <v>0</v>
      </c>
      <c r="T34" s="39">
        <f t="shared" si="23"/>
        <v>0</v>
      </c>
      <c r="U34" s="39">
        <f t="shared" si="23"/>
        <v>0</v>
      </c>
      <c r="V34" s="39">
        <f t="shared" si="23"/>
        <v>0</v>
      </c>
      <c r="W34" s="39">
        <f t="shared" si="23"/>
        <v>0</v>
      </c>
      <c r="X34" s="39">
        <f t="shared" si="23"/>
        <v>0</v>
      </c>
      <c r="Y34" s="39">
        <f t="shared" si="24"/>
        <v>0</v>
      </c>
      <c r="Z34" s="39">
        <f t="shared" si="24"/>
        <v>0</v>
      </c>
      <c r="AA34" s="39">
        <f t="shared" si="24"/>
        <v>0</v>
      </c>
      <c r="AB34" s="39">
        <f t="shared" si="24"/>
        <v>0</v>
      </c>
      <c r="AC34" s="39">
        <f t="shared" si="24"/>
        <v>70</v>
      </c>
      <c r="AD34" s="39">
        <f t="shared" si="24"/>
        <v>0</v>
      </c>
      <c r="AE34" s="39">
        <f t="shared" si="24"/>
        <v>0</v>
      </c>
      <c r="AF34" s="39">
        <f t="shared" si="24"/>
        <v>0</v>
      </c>
      <c r="AG34" s="39">
        <f t="shared" si="24"/>
        <v>0</v>
      </c>
      <c r="AH34" s="39">
        <f t="shared" si="24"/>
        <v>0</v>
      </c>
      <c r="AI34" s="39">
        <f t="shared" si="24"/>
        <v>0</v>
      </c>
      <c r="AJ34" s="39">
        <f t="shared" si="24"/>
        <v>0</v>
      </c>
      <c r="AK34" s="39">
        <f t="shared" si="24"/>
        <v>0</v>
      </c>
      <c r="AL34" s="39">
        <f t="shared" si="24"/>
        <v>0</v>
      </c>
      <c r="AM34" s="39">
        <f t="shared" si="24"/>
        <v>0</v>
      </c>
    </row>
    <row r="35" spans="1:39" x14ac:dyDescent="0.25">
      <c r="A35" s="257" t="s">
        <v>97</v>
      </c>
      <c r="B35" s="258" t="s">
        <v>96</v>
      </c>
      <c r="C35" s="259">
        <v>2</v>
      </c>
      <c r="D35" s="260" t="s">
        <v>113</v>
      </c>
      <c r="E35" s="261">
        <v>46081</v>
      </c>
      <c r="F35" s="262">
        <v>0.375</v>
      </c>
      <c r="G35" s="327" t="s">
        <v>20</v>
      </c>
      <c r="H35" s="328"/>
      <c r="I35" s="329" t="s">
        <v>186</v>
      </c>
      <c r="J35" s="265" t="s">
        <v>188</v>
      </c>
      <c r="K35" s="3">
        <f t="shared" si="19"/>
        <v>7</v>
      </c>
      <c r="L35">
        <f t="shared" si="2"/>
        <v>1</v>
      </c>
      <c r="M35" s="39">
        <f t="shared" si="3"/>
        <v>85</v>
      </c>
      <c r="N35" s="42">
        <f t="shared" si="20"/>
        <v>10</v>
      </c>
      <c r="O35" s="39">
        <f t="shared" si="23"/>
        <v>0</v>
      </c>
      <c r="P35" s="39">
        <f t="shared" si="23"/>
        <v>0</v>
      </c>
      <c r="Q35" s="39">
        <f t="shared" si="23"/>
        <v>0</v>
      </c>
      <c r="R35" s="39">
        <f t="shared" si="23"/>
        <v>0</v>
      </c>
      <c r="S35" s="39">
        <f t="shared" si="23"/>
        <v>75</v>
      </c>
      <c r="T35" s="39">
        <f t="shared" si="23"/>
        <v>0</v>
      </c>
      <c r="U35" s="39">
        <f t="shared" si="23"/>
        <v>0</v>
      </c>
      <c r="V35" s="39">
        <f t="shared" si="23"/>
        <v>0</v>
      </c>
      <c r="W35" s="39">
        <f t="shared" si="23"/>
        <v>0</v>
      </c>
      <c r="X35" s="39">
        <f t="shared" si="23"/>
        <v>0</v>
      </c>
      <c r="Y35" s="39">
        <f t="shared" si="24"/>
        <v>0</v>
      </c>
      <c r="Z35" s="39">
        <f t="shared" si="24"/>
        <v>0</v>
      </c>
      <c r="AA35" s="39">
        <f t="shared" si="24"/>
        <v>0</v>
      </c>
      <c r="AB35" s="39">
        <f t="shared" si="24"/>
        <v>0</v>
      </c>
      <c r="AC35" s="39">
        <f t="shared" si="24"/>
        <v>0</v>
      </c>
      <c r="AD35" s="39">
        <f t="shared" si="24"/>
        <v>0</v>
      </c>
      <c r="AE35" s="39">
        <f t="shared" si="24"/>
        <v>0</v>
      </c>
      <c r="AF35" s="39">
        <f t="shared" si="24"/>
        <v>0</v>
      </c>
      <c r="AG35" s="39">
        <f t="shared" si="24"/>
        <v>0</v>
      </c>
      <c r="AH35" s="39">
        <f t="shared" si="24"/>
        <v>0</v>
      </c>
      <c r="AI35" s="39">
        <f t="shared" si="24"/>
        <v>0</v>
      </c>
      <c r="AJ35" s="39">
        <f t="shared" si="24"/>
        <v>0</v>
      </c>
      <c r="AK35" s="39">
        <f t="shared" si="24"/>
        <v>0</v>
      </c>
      <c r="AL35" s="39">
        <f t="shared" si="24"/>
        <v>0</v>
      </c>
      <c r="AM35" s="39">
        <f t="shared" si="24"/>
        <v>0</v>
      </c>
    </row>
    <row r="36" spans="1:39" x14ac:dyDescent="0.25">
      <c r="A36" s="330" t="s">
        <v>89</v>
      </c>
      <c r="B36" s="331" t="s">
        <v>95</v>
      </c>
      <c r="C36" s="332">
        <v>2</v>
      </c>
      <c r="D36" s="333" t="s">
        <v>113</v>
      </c>
      <c r="E36" s="252">
        <v>46081</v>
      </c>
      <c r="F36" s="253">
        <v>0.47916666666666669</v>
      </c>
      <c r="G36" s="284" t="s">
        <v>104</v>
      </c>
      <c r="H36" s="284" t="s">
        <v>20</v>
      </c>
      <c r="I36" s="334" t="s">
        <v>186</v>
      </c>
      <c r="J36" s="335" t="s">
        <v>190</v>
      </c>
      <c r="K36" s="3">
        <f t="shared" si="19"/>
        <v>7</v>
      </c>
      <c r="L36" t="str">
        <f t="shared" si="2"/>
        <v/>
      </c>
      <c r="M36" s="39">
        <f t="shared" si="3"/>
        <v>165</v>
      </c>
      <c r="N36" s="42">
        <f t="shared" si="20"/>
        <v>20</v>
      </c>
      <c r="O36" s="39">
        <f t="shared" si="23"/>
        <v>0</v>
      </c>
      <c r="P36" s="39">
        <f t="shared" si="23"/>
        <v>0</v>
      </c>
      <c r="Q36" s="39">
        <f t="shared" si="23"/>
        <v>0</v>
      </c>
      <c r="R36" s="39">
        <f t="shared" si="23"/>
        <v>0</v>
      </c>
      <c r="S36" s="39">
        <f t="shared" si="23"/>
        <v>70</v>
      </c>
      <c r="T36" s="39">
        <f t="shared" si="23"/>
        <v>0</v>
      </c>
      <c r="U36" s="39">
        <f t="shared" si="23"/>
        <v>75</v>
      </c>
      <c r="V36" s="39">
        <f t="shared" si="23"/>
        <v>0</v>
      </c>
      <c r="W36" s="39">
        <f t="shared" si="23"/>
        <v>0</v>
      </c>
      <c r="X36" s="39">
        <f t="shared" si="23"/>
        <v>0</v>
      </c>
      <c r="Y36" s="39">
        <f t="shared" si="24"/>
        <v>0</v>
      </c>
      <c r="Z36" s="39">
        <f t="shared" si="24"/>
        <v>0</v>
      </c>
      <c r="AA36" s="39">
        <f t="shared" si="24"/>
        <v>0</v>
      </c>
      <c r="AB36" s="39">
        <f t="shared" si="24"/>
        <v>0</v>
      </c>
      <c r="AC36" s="39">
        <f t="shared" si="24"/>
        <v>0</v>
      </c>
      <c r="AD36" s="39">
        <f t="shared" si="24"/>
        <v>0</v>
      </c>
      <c r="AE36" s="39">
        <f t="shared" si="24"/>
        <v>0</v>
      </c>
      <c r="AF36" s="39">
        <f t="shared" si="24"/>
        <v>0</v>
      </c>
      <c r="AG36" s="39">
        <f t="shared" si="24"/>
        <v>0</v>
      </c>
      <c r="AH36" s="39">
        <f t="shared" si="24"/>
        <v>0</v>
      </c>
      <c r="AI36" s="39">
        <f t="shared" si="24"/>
        <v>0</v>
      </c>
      <c r="AJ36" s="39">
        <f t="shared" si="24"/>
        <v>0</v>
      </c>
      <c r="AK36" s="39">
        <f t="shared" si="24"/>
        <v>0</v>
      </c>
      <c r="AL36" s="39">
        <f t="shared" si="24"/>
        <v>0</v>
      </c>
      <c r="AM36" s="39">
        <f t="shared" si="24"/>
        <v>0</v>
      </c>
    </row>
    <row r="37" spans="1:39" x14ac:dyDescent="0.25">
      <c r="A37" s="330" t="s">
        <v>93</v>
      </c>
      <c r="B37" s="331" t="s">
        <v>94</v>
      </c>
      <c r="C37" s="332">
        <v>2</v>
      </c>
      <c r="D37" s="333" t="s">
        <v>113</v>
      </c>
      <c r="E37" s="252">
        <v>46081</v>
      </c>
      <c r="F37" s="253">
        <v>0.58333333333333337</v>
      </c>
      <c r="G37" s="336" t="s">
        <v>104</v>
      </c>
      <c r="H37" s="284" t="s">
        <v>18</v>
      </c>
      <c r="I37" s="337" t="s">
        <v>186</v>
      </c>
      <c r="J37" s="338" t="s">
        <v>190</v>
      </c>
      <c r="K37" s="3">
        <f t="shared" si="19"/>
        <v>7</v>
      </c>
      <c r="L37" t="str">
        <f t="shared" si="2"/>
        <v/>
      </c>
      <c r="M37" s="39">
        <f t="shared" si="3"/>
        <v>165</v>
      </c>
      <c r="N37" s="42">
        <f t="shared" si="20"/>
        <v>20</v>
      </c>
      <c r="O37" s="39">
        <f t="shared" si="23"/>
        <v>0</v>
      </c>
      <c r="P37" s="39">
        <f t="shared" si="23"/>
        <v>70</v>
      </c>
      <c r="Q37" s="39">
        <f t="shared" si="23"/>
        <v>0</v>
      </c>
      <c r="R37" s="39">
        <f t="shared" si="23"/>
        <v>0</v>
      </c>
      <c r="S37" s="39">
        <f t="shared" si="23"/>
        <v>0</v>
      </c>
      <c r="T37" s="39">
        <f t="shared" si="23"/>
        <v>0</v>
      </c>
      <c r="U37" s="39">
        <f t="shared" si="23"/>
        <v>75</v>
      </c>
      <c r="V37" s="39">
        <f t="shared" si="23"/>
        <v>0</v>
      </c>
      <c r="W37" s="39">
        <f t="shared" si="23"/>
        <v>0</v>
      </c>
      <c r="X37" s="39">
        <f t="shared" si="23"/>
        <v>0</v>
      </c>
      <c r="Y37" s="39">
        <f t="shared" si="24"/>
        <v>0</v>
      </c>
      <c r="Z37" s="39">
        <f t="shared" si="24"/>
        <v>0</v>
      </c>
      <c r="AA37" s="39">
        <f t="shared" si="24"/>
        <v>0</v>
      </c>
      <c r="AB37" s="39">
        <f t="shared" si="24"/>
        <v>0</v>
      </c>
      <c r="AC37" s="39">
        <f t="shared" si="24"/>
        <v>0</v>
      </c>
      <c r="AD37" s="39">
        <f t="shared" si="24"/>
        <v>0</v>
      </c>
      <c r="AE37" s="39">
        <f t="shared" si="24"/>
        <v>0</v>
      </c>
      <c r="AF37" s="39">
        <f t="shared" si="24"/>
        <v>0</v>
      </c>
      <c r="AG37" s="39">
        <f t="shared" si="24"/>
        <v>0</v>
      </c>
      <c r="AH37" s="39">
        <f t="shared" si="24"/>
        <v>0</v>
      </c>
      <c r="AI37" s="39">
        <f t="shared" si="24"/>
        <v>0</v>
      </c>
      <c r="AJ37" s="39">
        <f t="shared" si="24"/>
        <v>0</v>
      </c>
      <c r="AK37" s="39">
        <f t="shared" si="24"/>
        <v>0</v>
      </c>
      <c r="AL37" s="39">
        <f t="shared" si="24"/>
        <v>0</v>
      </c>
      <c r="AM37" s="39">
        <f t="shared" si="24"/>
        <v>0</v>
      </c>
    </row>
    <row r="38" spans="1:39" x14ac:dyDescent="0.25">
      <c r="A38" s="330" t="s">
        <v>98</v>
      </c>
      <c r="B38" s="331" t="s">
        <v>90</v>
      </c>
      <c r="C38" s="332">
        <v>2</v>
      </c>
      <c r="D38" s="333" t="s">
        <v>113</v>
      </c>
      <c r="E38" s="252">
        <v>46081</v>
      </c>
      <c r="F38" s="253">
        <v>0.6875</v>
      </c>
      <c r="G38" s="336" t="s">
        <v>18</v>
      </c>
      <c r="H38" s="284" t="s">
        <v>73</v>
      </c>
      <c r="I38" s="339" t="s">
        <v>186</v>
      </c>
      <c r="J38" s="335" t="s">
        <v>190</v>
      </c>
      <c r="K38" s="3">
        <f t="shared" si="19"/>
        <v>7</v>
      </c>
      <c r="L38" t="str">
        <f t="shared" si="2"/>
        <v/>
      </c>
      <c r="M38" s="39">
        <f t="shared" si="3"/>
        <v>165</v>
      </c>
      <c r="N38" s="42">
        <f t="shared" si="20"/>
        <v>20</v>
      </c>
      <c r="O38" s="39">
        <f t="shared" si="23"/>
        <v>0</v>
      </c>
      <c r="P38" s="39">
        <f t="shared" si="23"/>
        <v>75</v>
      </c>
      <c r="Q38" s="39">
        <f t="shared" si="23"/>
        <v>0</v>
      </c>
      <c r="R38" s="39">
        <f t="shared" si="23"/>
        <v>0</v>
      </c>
      <c r="S38" s="39">
        <f t="shared" si="23"/>
        <v>0</v>
      </c>
      <c r="T38" s="39">
        <f t="shared" si="23"/>
        <v>70</v>
      </c>
      <c r="U38" s="39">
        <f t="shared" si="23"/>
        <v>0</v>
      </c>
      <c r="V38" s="39">
        <f t="shared" si="23"/>
        <v>0</v>
      </c>
      <c r="W38" s="39">
        <f t="shared" si="23"/>
        <v>0</v>
      </c>
      <c r="X38" s="39">
        <f t="shared" si="23"/>
        <v>0</v>
      </c>
      <c r="Y38" s="39">
        <f t="shared" si="24"/>
        <v>0</v>
      </c>
      <c r="Z38" s="39">
        <f t="shared" si="24"/>
        <v>0</v>
      </c>
      <c r="AA38" s="39">
        <f t="shared" si="24"/>
        <v>0</v>
      </c>
      <c r="AB38" s="39">
        <f t="shared" si="24"/>
        <v>0</v>
      </c>
      <c r="AC38" s="39">
        <f t="shared" si="24"/>
        <v>0</v>
      </c>
      <c r="AD38" s="39">
        <f t="shared" si="24"/>
        <v>0</v>
      </c>
      <c r="AE38" s="39">
        <f t="shared" si="24"/>
        <v>0</v>
      </c>
      <c r="AF38" s="39">
        <f t="shared" si="24"/>
        <v>0</v>
      </c>
      <c r="AG38" s="39">
        <f t="shared" si="24"/>
        <v>0</v>
      </c>
      <c r="AH38" s="39">
        <f t="shared" si="24"/>
        <v>0</v>
      </c>
      <c r="AI38" s="39">
        <f t="shared" si="24"/>
        <v>0</v>
      </c>
      <c r="AJ38" s="39">
        <f t="shared" si="24"/>
        <v>0</v>
      </c>
      <c r="AK38" s="39">
        <f t="shared" si="24"/>
        <v>0</v>
      </c>
      <c r="AL38" s="39">
        <f t="shared" si="24"/>
        <v>0</v>
      </c>
      <c r="AM38" s="39">
        <f t="shared" si="24"/>
        <v>0</v>
      </c>
    </row>
    <row r="39" spans="1:39" x14ac:dyDescent="0.25">
      <c r="A39" s="257" t="s">
        <v>92</v>
      </c>
      <c r="B39" s="258" t="s">
        <v>99</v>
      </c>
      <c r="C39" s="259">
        <v>2</v>
      </c>
      <c r="D39" s="260" t="s">
        <v>113</v>
      </c>
      <c r="E39" s="261">
        <v>46081</v>
      </c>
      <c r="F39" s="262">
        <v>0.375</v>
      </c>
      <c r="G39" s="263" t="s">
        <v>22</v>
      </c>
      <c r="H39" s="328"/>
      <c r="I39" s="264" t="s">
        <v>187</v>
      </c>
      <c r="J39" s="265" t="s">
        <v>188</v>
      </c>
      <c r="K39" s="3">
        <f>WEEKDAY(E39)</f>
        <v>7</v>
      </c>
      <c r="L39">
        <f>IF(G39=L$1,1,IF(H39=L$1,1,""))</f>
        <v>1</v>
      </c>
      <c r="M39" s="39">
        <f t="shared" si="3"/>
        <v>85</v>
      </c>
      <c r="N39" s="42">
        <f>IF(H39&lt;&gt;"",20,10)</f>
        <v>10</v>
      </c>
      <c r="O39" s="39">
        <f t="shared" si="23"/>
        <v>0</v>
      </c>
      <c r="P39" s="39">
        <f t="shared" si="23"/>
        <v>0</v>
      </c>
      <c r="Q39" s="39">
        <f t="shared" si="23"/>
        <v>75</v>
      </c>
      <c r="R39" s="39">
        <f t="shared" si="23"/>
        <v>0</v>
      </c>
      <c r="S39" s="39">
        <f t="shared" si="23"/>
        <v>0</v>
      </c>
      <c r="T39" s="39">
        <f t="shared" si="23"/>
        <v>0</v>
      </c>
      <c r="U39" s="39">
        <f t="shared" si="23"/>
        <v>0</v>
      </c>
      <c r="V39" s="39">
        <f t="shared" si="23"/>
        <v>0</v>
      </c>
      <c r="W39" s="39">
        <f t="shared" si="23"/>
        <v>0</v>
      </c>
      <c r="X39" s="39">
        <f t="shared" si="23"/>
        <v>0</v>
      </c>
      <c r="Y39" s="39">
        <f t="shared" si="24"/>
        <v>0</v>
      </c>
      <c r="Z39" s="39">
        <f t="shared" si="24"/>
        <v>0</v>
      </c>
      <c r="AA39" s="39">
        <f t="shared" si="24"/>
        <v>0</v>
      </c>
      <c r="AB39" s="39">
        <f t="shared" si="24"/>
        <v>0</v>
      </c>
      <c r="AC39" s="39">
        <f t="shared" si="24"/>
        <v>0</v>
      </c>
      <c r="AD39" s="39">
        <f t="shared" si="24"/>
        <v>0</v>
      </c>
      <c r="AE39" s="39">
        <f t="shared" si="24"/>
        <v>0</v>
      </c>
      <c r="AF39" s="39">
        <f t="shared" si="24"/>
        <v>0</v>
      </c>
      <c r="AG39" s="39">
        <f t="shared" si="24"/>
        <v>0</v>
      </c>
      <c r="AH39" s="39">
        <f t="shared" si="24"/>
        <v>0</v>
      </c>
      <c r="AI39" s="39">
        <f t="shared" si="24"/>
        <v>0</v>
      </c>
      <c r="AJ39" s="39">
        <f t="shared" si="24"/>
        <v>0</v>
      </c>
      <c r="AK39" s="39">
        <f t="shared" si="24"/>
        <v>0</v>
      </c>
      <c r="AL39" s="39">
        <f t="shared" si="24"/>
        <v>0</v>
      </c>
      <c r="AM39" s="39">
        <f t="shared" si="24"/>
        <v>0</v>
      </c>
    </row>
    <row r="40" spans="1:39" x14ac:dyDescent="0.25">
      <c r="A40" s="257" t="s">
        <v>94</v>
      </c>
      <c r="B40" s="258" t="s">
        <v>96</v>
      </c>
      <c r="C40" s="259">
        <v>2</v>
      </c>
      <c r="D40" s="260" t="s">
        <v>113</v>
      </c>
      <c r="E40" s="261">
        <v>46081</v>
      </c>
      <c r="F40" s="262">
        <v>0.47916666666666669</v>
      </c>
      <c r="G40" s="263" t="s">
        <v>21</v>
      </c>
      <c r="H40" s="328"/>
      <c r="I40" s="264" t="s">
        <v>187</v>
      </c>
      <c r="J40" s="265" t="s">
        <v>188</v>
      </c>
      <c r="K40" s="3">
        <f>WEEKDAY(E40)</f>
        <v>7</v>
      </c>
      <c r="L40">
        <f>IF(G40=L$1,1,IF(H40=L$1,1,""))</f>
        <v>1</v>
      </c>
      <c r="M40" s="39">
        <f t="shared" si="3"/>
        <v>85</v>
      </c>
      <c r="N40" s="42">
        <f>IF(H40&lt;&gt;"",20,10)</f>
        <v>10</v>
      </c>
      <c r="O40" s="39">
        <f t="shared" si="23"/>
        <v>0</v>
      </c>
      <c r="P40" s="39">
        <f t="shared" si="23"/>
        <v>0</v>
      </c>
      <c r="Q40" s="39">
        <f t="shared" si="23"/>
        <v>0</v>
      </c>
      <c r="R40" s="39">
        <f t="shared" si="23"/>
        <v>0</v>
      </c>
      <c r="S40" s="39">
        <f t="shared" si="23"/>
        <v>0</v>
      </c>
      <c r="T40" s="39">
        <f t="shared" si="23"/>
        <v>0</v>
      </c>
      <c r="U40" s="39">
        <f t="shared" si="23"/>
        <v>0</v>
      </c>
      <c r="V40" s="39">
        <f t="shared" si="23"/>
        <v>75</v>
      </c>
      <c r="W40" s="39">
        <f t="shared" si="23"/>
        <v>0</v>
      </c>
      <c r="X40" s="39">
        <f t="shared" si="23"/>
        <v>0</v>
      </c>
      <c r="Y40" s="39">
        <f t="shared" si="24"/>
        <v>0</v>
      </c>
      <c r="Z40" s="39">
        <f t="shared" si="24"/>
        <v>0</v>
      </c>
      <c r="AA40" s="39">
        <f t="shared" si="24"/>
        <v>0</v>
      </c>
      <c r="AB40" s="39">
        <f t="shared" si="24"/>
        <v>0</v>
      </c>
      <c r="AC40" s="39">
        <f t="shared" si="24"/>
        <v>0</v>
      </c>
      <c r="AD40" s="39">
        <f t="shared" si="24"/>
        <v>0</v>
      </c>
      <c r="AE40" s="39">
        <f t="shared" si="24"/>
        <v>0</v>
      </c>
      <c r="AF40" s="39">
        <f t="shared" si="24"/>
        <v>0</v>
      </c>
      <c r="AG40" s="39">
        <f t="shared" si="24"/>
        <v>0</v>
      </c>
      <c r="AH40" s="39">
        <f t="shared" si="24"/>
        <v>0</v>
      </c>
      <c r="AI40" s="39">
        <f t="shared" si="24"/>
        <v>0</v>
      </c>
      <c r="AJ40" s="39">
        <f t="shared" si="24"/>
        <v>0</v>
      </c>
      <c r="AK40" s="39">
        <f t="shared" si="24"/>
        <v>0</v>
      </c>
      <c r="AL40" s="39">
        <f t="shared" si="24"/>
        <v>0</v>
      </c>
      <c r="AM40" s="39">
        <f t="shared" si="24"/>
        <v>0</v>
      </c>
    </row>
    <row r="41" spans="1:39" x14ac:dyDescent="0.25">
      <c r="A41" s="340" t="s">
        <v>92</v>
      </c>
      <c r="B41" s="341" t="s">
        <v>89</v>
      </c>
      <c r="C41" s="342">
        <v>2</v>
      </c>
      <c r="D41" s="343" t="s">
        <v>113</v>
      </c>
      <c r="E41" s="344">
        <v>46081</v>
      </c>
      <c r="F41" s="345">
        <v>0.58333333333333337</v>
      </c>
      <c r="G41" s="346" t="s">
        <v>106</v>
      </c>
      <c r="H41" s="347"/>
      <c r="I41" s="264" t="s">
        <v>187</v>
      </c>
      <c r="J41" s="265" t="s">
        <v>188</v>
      </c>
      <c r="K41" s="3">
        <f>WEEKDAY(E41)</f>
        <v>7</v>
      </c>
      <c r="L41">
        <f>IF(G41=L$1,1,IF(H41=L$1,1,""))</f>
        <v>1</v>
      </c>
      <c r="M41" s="39">
        <f t="shared" si="3"/>
        <v>85</v>
      </c>
      <c r="N41" s="42">
        <f>IF(H41&lt;&gt;"",20,10)</f>
        <v>10</v>
      </c>
      <c r="O41" s="39">
        <f t="shared" si="23"/>
        <v>0</v>
      </c>
      <c r="P41" s="39">
        <f t="shared" si="23"/>
        <v>0</v>
      </c>
      <c r="Q41" s="39">
        <f t="shared" si="23"/>
        <v>0</v>
      </c>
      <c r="R41" s="39">
        <f t="shared" si="23"/>
        <v>0</v>
      </c>
      <c r="S41" s="39">
        <f t="shared" si="23"/>
        <v>0</v>
      </c>
      <c r="T41" s="39">
        <f t="shared" si="23"/>
        <v>0</v>
      </c>
      <c r="U41" s="39">
        <f t="shared" si="23"/>
        <v>0</v>
      </c>
      <c r="V41" s="39">
        <f t="shared" si="23"/>
        <v>0</v>
      </c>
      <c r="W41" s="39">
        <f t="shared" si="23"/>
        <v>0</v>
      </c>
      <c r="X41" s="39">
        <f t="shared" si="23"/>
        <v>0</v>
      </c>
      <c r="Y41" s="39">
        <f t="shared" si="24"/>
        <v>0</v>
      </c>
      <c r="Z41" s="39">
        <f t="shared" si="24"/>
        <v>0</v>
      </c>
      <c r="AA41" s="39">
        <f t="shared" si="24"/>
        <v>0</v>
      </c>
      <c r="AB41" s="39">
        <f t="shared" si="24"/>
        <v>0</v>
      </c>
      <c r="AC41" s="39">
        <f t="shared" si="24"/>
        <v>75</v>
      </c>
      <c r="AD41" s="39">
        <f t="shared" si="24"/>
        <v>0</v>
      </c>
      <c r="AE41" s="39">
        <f t="shared" si="24"/>
        <v>0</v>
      </c>
      <c r="AF41" s="39">
        <f t="shared" si="24"/>
        <v>0</v>
      </c>
      <c r="AG41" s="39">
        <f t="shared" si="24"/>
        <v>0</v>
      </c>
      <c r="AH41" s="39">
        <f t="shared" si="24"/>
        <v>0</v>
      </c>
      <c r="AI41" s="39">
        <f t="shared" si="24"/>
        <v>0</v>
      </c>
      <c r="AJ41" s="39">
        <f t="shared" si="24"/>
        <v>0</v>
      </c>
      <c r="AK41" s="39">
        <f t="shared" si="24"/>
        <v>0</v>
      </c>
      <c r="AL41" s="39">
        <f t="shared" si="24"/>
        <v>0</v>
      </c>
      <c r="AM41" s="39">
        <f t="shared" si="24"/>
        <v>0</v>
      </c>
    </row>
    <row r="42" spans="1:39" x14ac:dyDescent="0.25">
      <c r="A42" s="257" t="s">
        <v>93</v>
      </c>
      <c r="B42" s="258" t="s">
        <v>97</v>
      </c>
      <c r="C42" s="259">
        <v>2</v>
      </c>
      <c r="D42" s="260" t="s">
        <v>113</v>
      </c>
      <c r="E42" s="261">
        <v>46081</v>
      </c>
      <c r="F42" s="262">
        <v>0.6875</v>
      </c>
      <c r="G42" s="263" t="s">
        <v>23</v>
      </c>
      <c r="H42" s="328"/>
      <c r="I42" s="264" t="s">
        <v>187</v>
      </c>
      <c r="J42" s="265" t="s">
        <v>188</v>
      </c>
      <c r="K42" s="3">
        <f>WEEKDAY(E42)</f>
        <v>7</v>
      </c>
      <c r="L42">
        <f>IF(G42=L$1,1,IF(H42=L$1,1,""))</f>
        <v>1</v>
      </c>
      <c r="M42" s="39">
        <f t="shared" si="3"/>
        <v>85</v>
      </c>
      <c r="N42" s="42">
        <f>IF(H42&lt;&gt;"",20,10)</f>
        <v>10</v>
      </c>
      <c r="O42" s="39">
        <f t="shared" si="23"/>
        <v>0</v>
      </c>
      <c r="P42" s="39">
        <f t="shared" si="23"/>
        <v>0</v>
      </c>
      <c r="Q42" s="39">
        <f t="shared" si="23"/>
        <v>0</v>
      </c>
      <c r="R42" s="39">
        <f t="shared" si="23"/>
        <v>0</v>
      </c>
      <c r="S42" s="39">
        <f t="shared" si="23"/>
        <v>0</v>
      </c>
      <c r="T42" s="39">
        <f t="shared" si="23"/>
        <v>0</v>
      </c>
      <c r="U42" s="39">
        <f t="shared" si="23"/>
        <v>0</v>
      </c>
      <c r="V42" s="39">
        <f t="shared" si="23"/>
        <v>0</v>
      </c>
      <c r="W42" s="39">
        <f t="shared" si="23"/>
        <v>0</v>
      </c>
      <c r="X42" s="39">
        <f t="shared" si="23"/>
        <v>75</v>
      </c>
      <c r="Y42" s="39">
        <f t="shared" si="24"/>
        <v>0</v>
      </c>
      <c r="Z42" s="39">
        <f t="shared" si="24"/>
        <v>0</v>
      </c>
      <c r="AA42" s="39">
        <f t="shared" si="24"/>
        <v>0</v>
      </c>
      <c r="AB42" s="39">
        <f t="shared" si="24"/>
        <v>0</v>
      </c>
      <c r="AC42" s="39">
        <f t="shared" si="24"/>
        <v>0</v>
      </c>
      <c r="AD42" s="39">
        <f t="shared" si="24"/>
        <v>0</v>
      </c>
      <c r="AE42" s="39">
        <f t="shared" si="24"/>
        <v>0</v>
      </c>
      <c r="AF42" s="39">
        <f t="shared" si="24"/>
        <v>0</v>
      </c>
      <c r="AG42" s="39">
        <f t="shared" si="24"/>
        <v>0</v>
      </c>
      <c r="AH42" s="39">
        <f t="shared" si="24"/>
        <v>0</v>
      </c>
      <c r="AI42" s="39">
        <f t="shared" si="24"/>
        <v>0</v>
      </c>
      <c r="AJ42" s="39">
        <f t="shared" si="24"/>
        <v>0</v>
      </c>
      <c r="AK42" s="39">
        <f t="shared" si="24"/>
        <v>0</v>
      </c>
      <c r="AL42" s="39">
        <f t="shared" si="24"/>
        <v>0</v>
      </c>
      <c r="AM42" s="39">
        <f t="shared" si="24"/>
        <v>0</v>
      </c>
    </row>
    <row r="43" spans="1:39" x14ac:dyDescent="0.25">
      <c r="A43" s="348" t="s">
        <v>194</v>
      </c>
      <c r="B43" s="349" t="s">
        <v>195</v>
      </c>
      <c r="C43" s="350">
        <v>2</v>
      </c>
      <c r="D43" s="351" t="s">
        <v>113</v>
      </c>
      <c r="E43" s="352">
        <v>46081</v>
      </c>
      <c r="F43" s="353">
        <v>0.47916666666666669</v>
      </c>
      <c r="G43" s="354" t="s">
        <v>22</v>
      </c>
      <c r="H43" s="328"/>
      <c r="I43" s="355" t="s">
        <v>196</v>
      </c>
      <c r="J43" s="356" t="s">
        <v>196</v>
      </c>
      <c r="K43" s="3"/>
      <c r="L43">
        <f>IF(G43=L$1,1,IF(H43=L$1,1,""))</f>
        <v>1</v>
      </c>
      <c r="M43" s="39"/>
      <c r="N43" s="42"/>
      <c r="O43" s="39">
        <f t="shared" ref="O43:P49" si="25">IF($G43=O$1,VLOOKUP($J43,$AP:$AQ,2,FALSE),IF($H43=O$1,70,0))</f>
        <v>0</v>
      </c>
      <c r="P43" s="39">
        <f t="shared" si="25"/>
        <v>0</v>
      </c>
      <c r="Q43" s="39"/>
      <c r="R43" s="39">
        <f t="shared" ref="R43:AA49" si="26">IF($G43=R$1,VLOOKUP($J43,$AP:$AQ,2,FALSE),IF($H43=R$1,70,0))</f>
        <v>0</v>
      </c>
      <c r="S43" s="39">
        <f t="shared" si="26"/>
        <v>0</v>
      </c>
      <c r="T43" s="39">
        <f t="shared" si="26"/>
        <v>0</v>
      </c>
      <c r="U43" s="39">
        <f t="shared" si="26"/>
        <v>0</v>
      </c>
      <c r="V43" s="39">
        <f t="shared" si="26"/>
        <v>0</v>
      </c>
      <c r="W43" s="39">
        <f t="shared" si="26"/>
        <v>0</v>
      </c>
      <c r="X43" s="39">
        <f t="shared" si="26"/>
        <v>0</v>
      </c>
      <c r="Y43" s="39">
        <f t="shared" si="26"/>
        <v>0</v>
      </c>
      <c r="Z43" s="39">
        <f t="shared" si="26"/>
        <v>0</v>
      </c>
      <c r="AA43" s="39">
        <f t="shared" si="26"/>
        <v>0</v>
      </c>
      <c r="AB43" s="39">
        <f t="shared" ref="AB43:AM49" si="27">IF($G43=AB$1,VLOOKUP($J43,$AP:$AQ,2,FALSE),IF($H43=AB$1,70,0))</f>
        <v>0</v>
      </c>
      <c r="AC43" s="39">
        <f t="shared" si="27"/>
        <v>0</v>
      </c>
      <c r="AD43" s="39">
        <f t="shared" si="27"/>
        <v>0</v>
      </c>
      <c r="AE43" s="39">
        <f t="shared" si="27"/>
        <v>0</v>
      </c>
      <c r="AF43" s="39">
        <f t="shared" si="27"/>
        <v>0</v>
      </c>
      <c r="AG43" s="39">
        <f t="shared" si="27"/>
        <v>0</v>
      </c>
      <c r="AH43" s="39">
        <f t="shared" si="27"/>
        <v>0</v>
      </c>
      <c r="AI43" s="39">
        <f t="shared" si="27"/>
        <v>0</v>
      </c>
      <c r="AJ43" s="39">
        <f t="shared" si="27"/>
        <v>0</v>
      </c>
      <c r="AK43" s="39">
        <f t="shared" si="27"/>
        <v>0</v>
      </c>
      <c r="AL43" s="39">
        <f t="shared" si="27"/>
        <v>0</v>
      </c>
      <c r="AM43" s="39">
        <f t="shared" si="27"/>
        <v>0</v>
      </c>
    </row>
    <row r="44" spans="1:39" x14ac:dyDescent="0.25">
      <c r="A44" s="266" t="s">
        <v>97</v>
      </c>
      <c r="B44" s="267" t="s">
        <v>95</v>
      </c>
      <c r="C44" s="268">
        <v>2</v>
      </c>
      <c r="D44" s="269" t="s">
        <v>113</v>
      </c>
      <c r="E44" s="270">
        <v>46082</v>
      </c>
      <c r="F44" s="271">
        <v>0.375</v>
      </c>
      <c r="G44" s="272" t="s">
        <v>23</v>
      </c>
      <c r="H44" s="225"/>
      <c r="I44" s="273" t="s">
        <v>186</v>
      </c>
      <c r="J44" s="274" t="s">
        <v>189</v>
      </c>
      <c r="K44" s="3">
        <f t="shared" si="19"/>
        <v>1</v>
      </c>
      <c r="L44">
        <f t="shared" si="2"/>
        <v>1</v>
      </c>
      <c r="M44" s="39">
        <f t="shared" ref="M44:M75" si="28">SUM(N44:AM44)</f>
        <v>80</v>
      </c>
      <c r="N44" s="42">
        <f t="shared" si="20"/>
        <v>10</v>
      </c>
      <c r="O44" s="39">
        <f t="shared" si="25"/>
        <v>0</v>
      </c>
      <c r="P44" s="39">
        <f t="shared" si="25"/>
        <v>0</v>
      </c>
      <c r="Q44" s="39">
        <f t="shared" ref="Q44:Q49" si="29">IF($G44=Q$1,VLOOKUP($J44,$AP:$AQ,2,FALSE),IF($H44=Q$1,70,0))</f>
        <v>0</v>
      </c>
      <c r="R44" s="39">
        <f t="shared" si="26"/>
        <v>0</v>
      </c>
      <c r="S44" s="39">
        <f t="shared" si="26"/>
        <v>0</v>
      </c>
      <c r="T44" s="39">
        <f t="shared" si="26"/>
        <v>0</v>
      </c>
      <c r="U44" s="39">
        <f t="shared" si="26"/>
        <v>0</v>
      </c>
      <c r="V44" s="39">
        <f t="shared" si="26"/>
        <v>0</v>
      </c>
      <c r="W44" s="39">
        <f t="shared" si="26"/>
        <v>0</v>
      </c>
      <c r="X44" s="39">
        <f t="shared" si="26"/>
        <v>70</v>
      </c>
      <c r="Y44" s="39">
        <f t="shared" si="26"/>
        <v>0</v>
      </c>
      <c r="Z44" s="39">
        <f t="shared" si="26"/>
        <v>0</v>
      </c>
      <c r="AA44" s="39">
        <f t="shared" si="26"/>
        <v>0</v>
      </c>
      <c r="AB44" s="39">
        <f t="shared" si="27"/>
        <v>0</v>
      </c>
      <c r="AC44" s="39">
        <f t="shared" si="27"/>
        <v>0</v>
      </c>
      <c r="AD44" s="39">
        <f t="shared" si="27"/>
        <v>0</v>
      </c>
      <c r="AE44" s="39">
        <f t="shared" si="27"/>
        <v>0</v>
      </c>
      <c r="AF44" s="39">
        <f t="shared" si="27"/>
        <v>0</v>
      </c>
      <c r="AG44" s="39">
        <f t="shared" si="27"/>
        <v>0</v>
      </c>
      <c r="AH44" s="39">
        <f t="shared" si="27"/>
        <v>0</v>
      </c>
      <c r="AI44" s="39">
        <f t="shared" si="27"/>
        <v>0</v>
      </c>
      <c r="AJ44" s="39">
        <f t="shared" si="27"/>
        <v>0</v>
      </c>
      <c r="AK44" s="39">
        <f t="shared" si="27"/>
        <v>0</v>
      </c>
      <c r="AL44" s="39">
        <f t="shared" si="27"/>
        <v>0</v>
      </c>
      <c r="AM44" s="39">
        <f t="shared" si="27"/>
        <v>0</v>
      </c>
    </row>
    <row r="45" spans="1:39" x14ac:dyDescent="0.25">
      <c r="A45" s="266" t="s">
        <v>94</v>
      </c>
      <c r="B45" s="267" t="s">
        <v>101</v>
      </c>
      <c r="C45" s="268">
        <v>2</v>
      </c>
      <c r="D45" s="269" t="s">
        <v>113</v>
      </c>
      <c r="E45" s="270">
        <v>46082</v>
      </c>
      <c r="F45" s="271">
        <v>0.47916666666666669</v>
      </c>
      <c r="G45" s="272" t="s">
        <v>23</v>
      </c>
      <c r="H45" s="225"/>
      <c r="I45" s="273" t="s">
        <v>186</v>
      </c>
      <c r="J45" s="274" t="s">
        <v>189</v>
      </c>
      <c r="K45" s="3">
        <f t="shared" si="19"/>
        <v>1</v>
      </c>
      <c r="L45">
        <f t="shared" si="2"/>
        <v>1</v>
      </c>
      <c r="M45" s="39">
        <f t="shared" si="28"/>
        <v>80</v>
      </c>
      <c r="N45" s="42">
        <f t="shared" si="20"/>
        <v>10</v>
      </c>
      <c r="O45" s="39">
        <f t="shared" si="25"/>
        <v>0</v>
      </c>
      <c r="P45" s="39">
        <f t="shared" si="25"/>
        <v>0</v>
      </c>
      <c r="Q45" s="39">
        <f t="shared" si="29"/>
        <v>0</v>
      </c>
      <c r="R45" s="39">
        <f t="shared" si="26"/>
        <v>0</v>
      </c>
      <c r="S45" s="39">
        <f t="shared" si="26"/>
        <v>0</v>
      </c>
      <c r="T45" s="39">
        <f t="shared" si="26"/>
        <v>0</v>
      </c>
      <c r="U45" s="39">
        <f t="shared" si="26"/>
        <v>0</v>
      </c>
      <c r="V45" s="39">
        <f t="shared" si="26"/>
        <v>0</v>
      </c>
      <c r="W45" s="39">
        <f t="shared" si="26"/>
        <v>0</v>
      </c>
      <c r="X45" s="39">
        <f t="shared" si="26"/>
        <v>70</v>
      </c>
      <c r="Y45" s="39">
        <f t="shared" si="26"/>
        <v>0</v>
      </c>
      <c r="Z45" s="39">
        <f t="shared" si="26"/>
        <v>0</v>
      </c>
      <c r="AA45" s="39">
        <f t="shared" si="26"/>
        <v>0</v>
      </c>
      <c r="AB45" s="39">
        <f t="shared" si="27"/>
        <v>0</v>
      </c>
      <c r="AC45" s="39">
        <f t="shared" si="27"/>
        <v>0</v>
      </c>
      <c r="AD45" s="39">
        <f t="shared" si="27"/>
        <v>0</v>
      </c>
      <c r="AE45" s="39">
        <f t="shared" si="27"/>
        <v>0</v>
      </c>
      <c r="AF45" s="39">
        <f t="shared" si="27"/>
        <v>0</v>
      </c>
      <c r="AG45" s="39">
        <f t="shared" si="27"/>
        <v>0</v>
      </c>
      <c r="AH45" s="39">
        <f t="shared" si="27"/>
        <v>0</v>
      </c>
      <c r="AI45" s="39">
        <f t="shared" si="27"/>
        <v>0</v>
      </c>
      <c r="AJ45" s="39">
        <f t="shared" si="27"/>
        <v>0</v>
      </c>
      <c r="AK45" s="39">
        <f t="shared" si="27"/>
        <v>0</v>
      </c>
      <c r="AL45" s="39">
        <f t="shared" si="27"/>
        <v>0</v>
      </c>
      <c r="AM45" s="39">
        <f t="shared" si="27"/>
        <v>0</v>
      </c>
    </row>
    <row r="46" spans="1:39" x14ac:dyDescent="0.25">
      <c r="A46" s="266" t="s">
        <v>96</v>
      </c>
      <c r="B46" s="267" t="s">
        <v>90</v>
      </c>
      <c r="C46" s="268">
        <v>2</v>
      </c>
      <c r="D46" s="269" t="s">
        <v>113</v>
      </c>
      <c r="E46" s="270">
        <v>46082</v>
      </c>
      <c r="F46" s="271">
        <v>0.58333333333333337</v>
      </c>
      <c r="G46" s="272" t="s">
        <v>75</v>
      </c>
      <c r="H46" s="225"/>
      <c r="I46" s="273" t="s">
        <v>186</v>
      </c>
      <c r="J46" s="274" t="s">
        <v>189</v>
      </c>
      <c r="K46" s="3">
        <f t="shared" si="19"/>
        <v>1</v>
      </c>
      <c r="L46">
        <f t="shared" si="2"/>
        <v>1</v>
      </c>
      <c r="M46" s="39">
        <f t="shared" si="28"/>
        <v>80</v>
      </c>
      <c r="N46" s="42">
        <f t="shared" si="20"/>
        <v>10</v>
      </c>
      <c r="O46" s="39">
        <f t="shared" si="25"/>
        <v>0</v>
      </c>
      <c r="P46" s="39">
        <f t="shared" si="25"/>
        <v>0</v>
      </c>
      <c r="Q46" s="39">
        <f t="shared" si="29"/>
        <v>0</v>
      </c>
      <c r="R46" s="39">
        <f t="shared" si="26"/>
        <v>0</v>
      </c>
      <c r="S46" s="39">
        <f t="shared" si="26"/>
        <v>0</v>
      </c>
      <c r="T46" s="39">
        <f t="shared" si="26"/>
        <v>0</v>
      </c>
      <c r="U46" s="39">
        <f t="shared" si="26"/>
        <v>0</v>
      </c>
      <c r="V46" s="39">
        <f t="shared" si="26"/>
        <v>0</v>
      </c>
      <c r="W46" s="39">
        <f t="shared" si="26"/>
        <v>0</v>
      </c>
      <c r="X46" s="39">
        <f t="shared" si="26"/>
        <v>0</v>
      </c>
      <c r="Y46" s="39">
        <f t="shared" si="26"/>
        <v>0</v>
      </c>
      <c r="Z46" s="39">
        <f t="shared" si="26"/>
        <v>0</v>
      </c>
      <c r="AA46" s="39">
        <f t="shared" si="26"/>
        <v>0</v>
      </c>
      <c r="AB46" s="39">
        <f t="shared" si="27"/>
        <v>70</v>
      </c>
      <c r="AC46" s="39">
        <f t="shared" si="27"/>
        <v>0</v>
      </c>
      <c r="AD46" s="39">
        <f t="shared" si="27"/>
        <v>0</v>
      </c>
      <c r="AE46" s="39">
        <f t="shared" si="27"/>
        <v>0</v>
      </c>
      <c r="AF46" s="39">
        <f t="shared" si="27"/>
        <v>0</v>
      </c>
      <c r="AG46" s="39">
        <f t="shared" si="27"/>
        <v>0</v>
      </c>
      <c r="AH46" s="39">
        <f t="shared" si="27"/>
        <v>0</v>
      </c>
      <c r="AI46" s="39">
        <f t="shared" si="27"/>
        <v>0</v>
      </c>
      <c r="AJ46" s="39">
        <f t="shared" si="27"/>
        <v>0</v>
      </c>
      <c r="AK46" s="39">
        <f t="shared" si="27"/>
        <v>0</v>
      </c>
      <c r="AL46" s="39">
        <f t="shared" si="27"/>
        <v>0</v>
      </c>
      <c r="AM46" s="39">
        <f t="shared" si="27"/>
        <v>0</v>
      </c>
    </row>
    <row r="47" spans="1:39" x14ac:dyDescent="0.25">
      <c r="A47" s="266" t="s">
        <v>89</v>
      </c>
      <c r="B47" s="267" t="s">
        <v>99</v>
      </c>
      <c r="C47" s="268">
        <v>2</v>
      </c>
      <c r="D47" s="269" t="s">
        <v>113</v>
      </c>
      <c r="E47" s="270">
        <v>46082</v>
      </c>
      <c r="F47" s="271">
        <v>0.375</v>
      </c>
      <c r="G47" s="272" t="s">
        <v>102</v>
      </c>
      <c r="H47" s="225"/>
      <c r="I47" s="273" t="s">
        <v>187</v>
      </c>
      <c r="J47" s="274" t="s">
        <v>189</v>
      </c>
      <c r="K47" s="3">
        <f t="shared" si="19"/>
        <v>1</v>
      </c>
      <c r="L47">
        <f t="shared" si="2"/>
        <v>1</v>
      </c>
      <c r="M47" s="39">
        <f t="shared" si="28"/>
        <v>80</v>
      </c>
      <c r="N47" s="42">
        <f t="shared" si="20"/>
        <v>10</v>
      </c>
      <c r="O47" s="39">
        <f t="shared" si="25"/>
        <v>0</v>
      </c>
      <c r="P47" s="39">
        <f t="shared" si="25"/>
        <v>0</v>
      </c>
      <c r="Q47" s="39">
        <f t="shared" si="29"/>
        <v>0</v>
      </c>
      <c r="R47" s="39">
        <f t="shared" si="26"/>
        <v>0</v>
      </c>
      <c r="S47" s="39">
        <f t="shared" si="26"/>
        <v>0</v>
      </c>
      <c r="T47" s="39">
        <f t="shared" si="26"/>
        <v>0</v>
      </c>
      <c r="U47" s="39">
        <f t="shared" si="26"/>
        <v>0</v>
      </c>
      <c r="V47" s="39">
        <f t="shared" si="26"/>
        <v>0</v>
      </c>
      <c r="W47" s="39">
        <f t="shared" si="26"/>
        <v>70</v>
      </c>
      <c r="X47" s="39">
        <f t="shared" si="26"/>
        <v>0</v>
      </c>
      <c r="Y47" s="39">
        <f t="shared" si="26"/>
        <v>0</v>
      </c>
      <c r="Z47" s="39">
        <f t="shared" si="26"/>
        <v>0</v>
      </c>
      <c r="AA47" s="39">
        <f t="shared" si="26"/>
        <v>0</v>
      </c>
      <c r="AB47" s="39">
        <f t="shared" si="27"/>
        <v>0</v>
      </c>
      <c r="AC47" s="39">
        <f t="shared" si="27"/>
        <v>0</v>
      </c>
      <c r="AD47" s="39">
        <f t="shared" si="27"/>
        <v>0</v>
      </c>
      <c r="AE47" s="39">
        <f t="shared" si="27"/>
        <v>0</v>
      </c>
      <c r="AF47" s="39">
        <f t="shared" si="27"/>
        <v>0</v>
      </c>
      <c r="AG47" s="39">
        <f t="shared" si="27"/>
        <v>0</v>
      </c>
      <c r="AH47" s="39">
        <f t="shared" si="27"/>
        <v>0</v>
      </c>
      <c r="AI47" s="39">
        <f t="shared" si="27"/>
        <v>0</v>
      </c>
      <c r="AJ47" s="39">
        <f t="shared" si="27"/>
        <v>0</v>
      </c>
      <c r="AK47" s="39">
        <f t="shared" si="27"/>
        <v>0</v>
      </c>
      <c r="AL47" s="39">
        <f t="shared" si="27"/>
        <v>0</v>
      </c>
      <c r="AM47" s="39">
        <f t="shared" si="27"/>
        <v>0</v>
      </c>
    </row>
    <row r="48" spans="1:39" x14ac:dyDescent="0.25">
      <c r="A48" s="266" t="s">
        <v>100</v>
      </c>
      <c r="B48" s="267" t="s">
        <v>92</v>
      </c>
      <c r="C48" s="268">
        <v>2</v>
      </c>
      <c r="D48" s="269" t="s">
        <v>113</v>
      </c>
      <c r="E48" s="270">
        <v>46082</v>
      </c>
      <c r="F48" s="271">
        <v>0.47916666666666669</v>
      </c>
      <c r="G48" s="272" t="s">
        <v>108</v>
      </c>
      <c r="H48" s="225"/>
      <c r="I48" s="273" t="s">
        <v>187</v>
      </c>
      <c r="J48" s="274" t="s">
        <v>189</v>
      </c>
      <c r="K48" s="3">
        <f t="shared" si="19"/>
        <v>1</v>
      </c>
      <c r="L48">
        <f t="shared" si="2"/>
        <v>1</v>
      </c>
      <c r="M48" s="39">
        <f t="shared" si="28"/>
        <v>80</v>
      </c>
      <c r="N48" s="42">
        <f t="shared" si="20"/>
        <v>10</v>
      </c>
      <c r="O48" s="39">
        <f t="shared" si="25"/>
        <v>0</v>
      </c>
      <c r="P48" s="39">
        <f t="shared" si="25"/>
        <v>0</v>
      </c>
      <c r="Q48" s="39">
        <f t="shared" si="29"/>
        <v>0</v>
      </c>
      <c r="R48" s="39">
        <f t="shared" si="26"/>
        <v>0</v>
      </c>
      <c r="S48" s="39">
        <f t="shared" si="26"/>
        <v>0</v>
      </c>
      <c r="T48" s="39">
        <f t="shared" si="26"/>
        <v>0</v>
      </c>
      <c r="U48" s="39">
        <f t="shared" si="26"/>
        <v>0</v>
      </c>
      <c r="V48" s="39">
        <f t="shared" si="26"/>
        <v>0</v>
      </c>
      <c r="W48" s="39">
        <f t="shared" si="26"/>
        <v>0</v>
      </c>
      <c r="X48" s="39">
        <f t="shared" si="26"/>
        <v>0</v>
      </c>
      <c r="Y48" s="39">
        <f t="shared" si="26"/>
        <v>0</v>
      </c>
      <c r="Z48" s="39">
        <f t="shared" si="26"/>
        <v>0</v>
      </c>
      <c r="AA48" s="39">
        <f t="shared" si="26"/>
        <v>0</v>
      </c>
      <c r="AB48" s="39">
        <f t="shared" si="27"/>
        <v>0</v>
      </c>
      <c r="AC48" s="39">
        <f t="shared" si="27"/>
        <v>0</v>
      </c>
      <c r="AD48" s="39">
        <f t="shared" si="27"/>
        <v>0</v>
      </c>
      <c r="AE48" s="39">
        <f t="shared" si="27"/>
        <v>70</v>
      </c>
      <c r="AF48" s="39">
        <f t="shared" si="27"/>
        <v>0</v>
      </c>
      <c r="AG48" s="39">
        <f t="shared" si="27"/>
        <v>0</v>
      </c>
      <c r="AH48" s="39">
        <f t="shared" si="27"/>
        <v>0</v>
      </c>
      <c r="AI48" s="39">
        <f t="shared" si="27"/>
        <v>0</v>
      </c>
      <c r="AJ48" s="39">
        <f t="shared" si="27"/>
        <v>0</v>
      </c>
      <c r="AK48" s="39">
        <f t="shared" si="27"/>
        <v>0</v>
      </c>
      <c r="AL48" s="39">
        <f t="shared" si="27"/>
        <v>0</v>
      </c>
      <c r="AM48" s="39">
        <f t="shared" si="27"/>
        <v>0</v>
      </c>
    </row>
    <row r="49" spans="1:41" ht="15.75" thickBot="1" x14ac:dyDescent="0.3">
      <c r="A49" s="266" t="s">
        <v>93</v>
      </c>
      <c r="B49" s="267" t="s">
        <v>98</v>
      </c>
      <c r="C49" s="268">
        <v>2</v>
      </c>
      <c r="D49" s="269" t="s">
        <v>113</v>
      </c>
      <c r="E49" s="270">
        <v>46082</v>
      </c>
      <c r="F49" s="271">
        <v>0.58333333333333337</v>
      </c>
      <c r="G49" s="272" t="s">
        <v>106</v>
      </c>
      <c r="H49" s="225"/>
      <c r="I49" s="273" t="s">
        <v>187</v>
      </c>
      <c r="J49" s="274" t="s">
        <v>189</v>
      </c>
      <c r="K49" s="3">
        <f t="shared" si="19"/>
        <v>1</v>
      </c>
      <c r="L49">
        <f t="shared" si="2"/>
        <v>1</v>
      </c>
      <c r="M49" s="39">
        <f t="shared" si="28"/>
        <v>80</v>
      </c>
      <c r="N49" s="42">
        <f t="shared" si="20"/>
        <v>10</v>
      </c>
      <c r="O49" s="39">
        <f t="shared" si="25"/>
        <v>0</v>
      </c>
      <c r="P49" s="39">
        <f t="shared" si="25"/>
        <v>0</v>
      </c>
      <c r="Q49" s="39">
        <f t="shared" si="29"/>
        <v>0</v>
      </c>
      <c r="R49" s="39">
        <f t="shared" si="26"/>
        <v>0</v>
      </c>
      <c r="S49" s="39">
        <f t="shared" si="26"/>
        <v>0</v>
      </c>
      <c r="T49" s="39">
        <f t="shared" si="26"/>
        <v>0</v>
      </c>
      <c r="U49" s="39">
        <f t="shared" si="26"/>
        <v>0</v>
      </c>
      <c r="V49" s="39">
        <f t="shared" si="26"/>
        <v>0</v>
      </c>
      <c r="W49" s="39">
        <f t="shared" si="26"/>
        <v>0</v>
      </c>
      <c r="X49" s="39">
        <f t="shared" si="26"/>
        <v>0</v>
      </c>
      <c r="Y49" s="39">
        <f t="shared" si="26"/>
        <v>0</v>
      </c>
      <c r="Z49" s="39">
        <f t="shared" si="26"/>
        <v>0</v>
      </c>
      <c r="AA49" s="39">
        <f t="shared" si="26"/>
        <v>0</v>
      </c>
      <c r="AB49" s="39">
        <f t="shared" si="27"/>
        <v>0</v>
      </c>
      <c r="AC49" s="39">
        <f t="shared" si="27"/>
        <v>70</v>
      </c>
      <c r="AD49" s="39">
        <f t="shared" si="27"/>
        <v>0</v>
      </c>
      <c r="AE49" s="39">
        <f t="shared" si="27"/>
        <v>0</v>
      </c>
      <c r="AF49" s="39">
        <f t="shared" si="27"/>
        <v>0</v>
      </c>
      <c r="AG49" s="39">
        <f t="shared" si="27"/>
        <v>0</v>
      </c>
      <c r="AH49" s="39">
        <f t="shared" si="27"/>
        <v>0</v>
      </c>
      <c r="AI49" s="39">
        <f t="shared" si="27"/>
        <v>0</v>
      </c>
      <c r="AJ49" s="39">
        <f t="shared" si="27"/>
        <v>0</v>
      </c>
      <c r="AK49" s="39">
        <f t="shared" si="27"/>
        <v>0</v>
      </c>
      <c r="AL49" s="39">
        <f t="shared" si="27"/>
        <v>0</v>
      </c>
      <c r="AM49" s="39">
        <f t="shared" si="27"/>
        <v>0</v>
      </c>
    </row>
    <row r="50" spans="1:41" ht="13.5" customHeight="1" thickBot="1" x14ac:dyDescent="0.3">
      <c r="A50" s="88"/>
      <c r="B50" s="89"/>
      <c r="C50" s="90"/>
      <c r="D50" s="91"/>
      <c r="E50" s="92"/>
      <c r="F50" s="187"/>
      <c r="G50" s="202"/>
      <c r="H50" s="194"/>
      <c r="I50" s="177"/>
      <c r="J50" s="45" t="str">
        <f>"Totals for " &amp; D49 &amp;"…"</f>
        <v>Totals for Feb 23-Mar 1…</v>
      </c>
      <c r="K50" s="3">
        <v>9</v>
      </c>
      <c r="L50">
        <f t="shared" si="2"/>
        <v>1</v>
      </c>
      <c r="M50" s="46">
        <f t="shared" si="28"/>
        <v>2800</v>
      </c>
      <c r="N50" s="43">
        <f t="shared" ref="N50:AM50" si="30">SUM(N21:N49)</f>
        <v>340</v>
      </c>
      <c r="O50" s="106">
        <f t="shared" si="30"/>
        <v>150</v>
      </c>
      <c r="P50" s="106">
        <f t="shared" si="30"/>
        <v>145</v>
      </c>
      <c r="Q50" s="106">
        <f t="shared" si="30"/>
        <v>75</v>
      </c>
      <c r="R50" s="106">
        <f t="shared" si="30"/>
        <v>150</v>
      </c>
      <c r="S50" s="106">
        <f t="shared" si="30"/>
        <v>425</v>
      </c>
      <c r="T50" s="106">
        <f t="shared" si="30"/>
        <v>140</v>
      </c>
      <c r="U50" s="106">
        <f>SUM(U21:U49)</f>
        <v>150</v>
      </c>
      <c r="V50" s="114">
        <f t="shared" si="30"/>
        <v>300</v>
      </c>
      <c r="W50" s="107">
        <f t="shared" si="30"/>
        <v>140</v>
      </c>
      <c r="X50" s="107">
        <f t="shared" si="30"/>
        <v>215</v>
      </c>
      <c r="Y50" s="107">
        <f t="shared" si="30"/>
        <v>70</v>
      </c>
      <c r="Z50" s="107">
        <f t="shared" si="30"/>
        <v>75</v>
      </c>
      <c r="AA50" s="108">
        <f t="shared" si="30"/>
        <v>0</v>
      </c>
      <c r="AB50" s="108">
        <f t="shared" si="30"/>
        <v>70</v>
      </c>
      <c r="AC50" s="108">
        <f t="shared" si="30"/>
        <v>215</v>
      </c>
      <c r="AD50" s="108">
        <f t="shared" si="30"/>
        <v>70</v>
      </c>
      <c r="AE50" s="108">
        <f t="shared" si="30"/>
        <v>70</v>
      </c>
      <c r="AF50" s="106">
        <f>SUM(AF21:AF49)</f>
        <v>0</v>
      </c>
      <c r="AG50" s="109">
        <f t="shared" si="30"/>
        <v>0</v>
      </c>
      <c r="AH50" s="109">
        <f t="shared" si="30"/>
        <v>0</v>
      </c>
      <c r="AI50" s="109">
        <f t="shared" si="30"/>
        <v>0</v>
      </c>
      <c r="AJ50" s="109">
        <f t="shared" si="30"/>
        <v>0</v>
      </c>
      <c r="AK50" s="110">
        <f t="shared" si="30"/>
        <v>0</v>
      </c>
      <c r="AL50" s="110">
        <f t="shared" si="30"/>
        <v>0</v>
      </c>
      <c r="AM50" s="110">
        <f t="shared" si="30"/>
        <v>0</v>
      </c>
      <c r="AN50" s="86">
        <f>SUM(N50:AM50)</f>
        <v>2800</v>
      </c>
      <c r="AO50" s="87"/>
    </row>
    <row r="51" spans="1:41" x14ac:dyDescent="0.25">
      <c r="A51" s="218" t="s">
        <v>90</v>
      </c>
      <c r="B51" s="219" t="s">
        <v>97</v>
      </c>
      <c r="C51" s="220">
        <v>3</v>
      </c>
      <c r="D51" s="221" t="s">
        <v>115</v>
      </c>
      <c r="E51" s="222">
        <v>46083</v>
      </c>
      <c r="F51" s="223">
        <v>0.70833333333333337</v>
      </c>
      <c r="G51" s="224" t="s">
        <v>104</v>
      </c>
      <c r="H51" s="225"/>
      <c r="I51" s="226" t="s">
        <v>186</v>
      </c>
      <c r="J51" s="227" t="s">
        <v>188</v>
      </c>
      <c r="K51" s="3">
        <f t="shared" ref="K51:K69" si="31">WEEKDAY(E51)</f>
        <v>2</v>
      </c>
      <c r="L51">
        <f t="shared" ref="L51:L69" si="32">IF(G51=L$1,1,IF(H51=L$1,1,""))</f>
        <v>1</v>
      </c>
      <c r="M51" s="39">
        <f t="shared" si="28"/>
        <v>85</v>
      </c>
      <c r="N51" s="42">
        <f t="shared" ref="N51:N69" si="33">IF(H51&lt;&gt;"",20,10)</f>
        <v>10</v>
      </c>
      <c r="O51" s="39">
        <f t="shared" ref="O51:X60" si="34">IF($G51=O$1,VLOOKUP($J51,$AP:$AQ,2,FALSE),IF($H51=O$1,70,0))</f>
        <v>0</v>
      </c>
      <c r="P51" s="39">
        <f t="shared" si="34"/>
        <v>0</v>
      </c>
      <c r="Q51" s="39">
        <f t="shared" si="34"/>
        <v>0</v>
      </c>
      <c r="R51" s="39">
        <f t="shared" si="34"/>
        <v>0</v>
      </c>
      <c r="S51" s="39">
        <f t="shared" si="34"/>
        <v>0</v>
      </c>
      <c r="T51" s="39">
        <f t="shared" si="34"/>
        <v>0</v>
      </c>
      <c r="U51" s="39">
        <f t="shared" si="34"/>
        <v>75</v>
      </c>
      <c r="V51" s="39">
        <f t="shared" si="34"/>
        <v>0</v>
      </c>
      <c r="W51" s="39">
        <f t="shared" si="34"/>
        <v>0</v>
      </c>
      <c r="X51" s="39">
        <f t="shared" si="34"/>
        <v>0</v>
      </c>
      <c r="Y51" s="39">
        <f t="shared" ref="Y51:AM60" si="35">IF($G51=Y$1,VLOOKUP($J51,$AP:$AQ,2,FALSE),IF($H51=Y$1,70,0))</f>
        <v>0</v>
      </c>
      <c r="Z51" s="39">
        <f t="shared" si="35"/>
        <v>0</v>
      </c>
      <c r="AA51" s="39">
        <f t="shared" si="35"/>
        <v>0</v>
      </c>
      <c r="AB51" s="39">
        <f t="shared" si="35"/>
        <v>0</v>
      </c>
      <c r="AC51" s="39">
        <f t="shared" si="35"/>
        <v>0</v>
      </c>
      <c r="AD51" s="39">
        <f t="shared" si="35"/>
        <v>0</v>
      </c>
      <c r="AE51" s="39">
        <f t="shared" si="35"/>
        <v>0</v>
      </c>
      <c r="AF51" s="39">
        <f t="shared" si="35"/>
        <v>0</v>
      </c>
      <c r="AG51" s="39">
        <f t="shared" si="35"/>
        <v>0</v>
      </c>
      <c r="AH51" s="39">
        <f t="shared" si="35"/>
        <v>0</v>
      </c>
      <c r="AI51" s="39">
        <f t="shared" si="35"/>
        <v>0</v>
      </c>
      <c r="AJ51" s="39">
        <f t="shared" si="35"/>
        <v>0</v>
      </c>
      <c r="AK51" s="39">
        <f t="shared" si="35"/>
        <v>0</v>
      </c>
      <c r="AL51" s="39">
        <f t="shared" si="35"/>
        <v>0</v>
      </c>
      <c r="AM51" s="39">
        <f t="shared" si="35"/>
        <v>0</v>
      </c>
    </row>
    <row r="52" spans="1:41" x14ac:dyDescent="0.25">
      <c r="A52" s="240" t="s">
        <v>94</v>
      </c>
      <c r="B52" s="241" t="s">
        <v>98</v>
      </c>
      <c r="C52" s="242">
        <v>3</v>
      </c>
      <c r="D52" s="243" t="s">
        <v>115</v>
      </c>
      <c r="E52" s="244">
        <v>46083</v>
      </c>
      <c r="F52" s="245">
        <v>0.70833333333333337</v>
      </c>
      <c r="G52" s="308" t="s">
        <v>77</v>
      </c>
      <c r="H52" s="225"/>
      <c r="I52" s="246" t="s">
        <v>187</v>
      </c>
      <c r="J52" s="247" t="s">
        <v>188</v>
      </c>
      <c r="K52" s="3">
        <f t="shared" si="31"/>
        <v>2</v>
      </c>
      <c r="L52">
        <f t="shared" si="32"/>
        <v>1</v>
      </c>
      <c r="M52" s="39">
        <f t="shared" si="28"/>
        <v>85</v>
      </c>
      <c r="N52" s="42">
        <f t="shared" si="33"/>
        <v>10</v>
      </c>
      <c r="O52" s="39">
        <f t="shared" si="34"/>
        <v>0</v>
      </c>
      <c r="P52" s="39">
        <f t="shared" si="34"/>
        <v>0</v>
      </c>
      <c r="Q52" s="39">
        <f t="shared" si="34"/>
        <v>0</v>
      </c>
      <c r="R52" s="39">
        <f t="shared" si="34"/>
        <v>0</v>
      </c>
      <c r="S52" s="39">
        <f t="shared" si="34"/>
        <v>0</v>
      </c>
      <c r="T52" s="39">
        <f t="shared" si="34"/>
        <v>0</v>
      </c>
      <c r="U52" s="39">
        <f t="shared" si="34"/>
        <v>0</v>
      </c>
      <c r="V52" s="39">
        <f t="shared" si="34"/>
        <v>0</v>
      </c>
      <c r="W52" s="39">
        <f t="shared" si="34"/>
        <v>0</v>
      </c>
      <c r="X52" s="39">
        <f t="shared" si="34"/>
        <v>0</v>
      </c>
      <c r="Y52" s="39">
        <f t="shared" si="35"/>
        <v>75</v>
      </c>
      <c r="Z52" s="39">
        <f t="shared" si="35"/>
        <v>0</v>
      </c>
      <c r="AA52" s="39">
        <f t="shared" si="35"/>
        <v>0</v>
      </c>
      <c r="AB52" s="39">
        <f t="shared" si="35"/>
        <v>0</v>
      </c>
      <c r="AC52" s="39">
        <f t="shared" si="35"/>
        <v>0</v>
      </c>
      <c r="AD52" s="39">
        <f t="shared" si="35"/>
        <v>0</v>
      </c>
      <c r="AE52" s="39">
        <f t="shared" si="35"/>
        <v>0</v>
      </c>
      <c r="AF52" s="39">
        <f t="shared" si="35"/>
        <v>0</v>
      </c>
      <c r="AG52" s="39">
        <f t="shared" si="35"/>
        <v>0</v>
      </c>
      <c r="AH52" s="39">
        <f t="shared" si="35"/>
        <v>0</v>
      </c>
      <c r="AI52" s="39">
        <f t="shared" si="35"/>
        <v>0</v>
      </c>
      <c r="AJ52" s="39">
        <f t="shared" si="35"/>
        <v>0</v>
      </c>
      <c r="AK52" s="39">
        <f t="shared" si="35"/>
        <v>0</v>
      </c>
      <c r="AL52" s="39">
        <f t="shared" si="35"/>
        <v>0</v>
      </c>
      <c r="AM52" s="39">
        <f t="shared" si="35"/>
        <v>0</v>
      </c>
    </row>
    <row r="53" spans="1:41" x14ac:dyDescent="0.25">
      <c r="A53" s="257" t="s">
        <v>95</v>
      </c>
      <c r="B53" s="258" t="s">
        <v>99</v>
      </c>
      <c r="C53" s="259">
        <v>3</v>
      </c>
      <c r="D53" s="260" t="s">
        <v>115</v>
      </c>
      <c r="E53" s="261">
        <v>46084</v>
      </c>
      <c r="F53" s="262">
        <v>0.6875</v>
      </c>
      <c r="G53" s="263" t="s">
        <v>18</v>
      </c>
      <c r="H53" s="225"/>
      <c r="I53" s="264" t="s">
        <v>186</v>
      </c>
      <c r="J53" s="265" t="s">
        <v>188</v>
      </c>
      <c r="K53" s="3">
        <f t="shared" si="31"/>
        <v>3</v>
      </c>
      <c r="L53">
        <f t="shared" si="32"/>
        <v>1</v>
      </c>
      <c r="M53" s="39">
        <f t="shared" si="28"/>
        <v>85</v>
      </c>
      <c r="N53" s="42">
        <f t="shared" si="33"/>
        <v>10</v>
      </c>
      <c r="O53" s="39">
        <f t="shared" si="34"/>
        <v>0</v>
      </c>
      <c r="P53" s="39">
        <f t="shared" si="34"/>
        <v>75</v>
      </c>
      <c r="Q53" s="39">
        <f t="shared" si="34"/>
        <v>0</v>
      </c>
      <c r="R53" s="39">
        <f t="shared" si="34"/>
        <v>0</v>
      </c>
      <c r="S53" s="39">
        <f t="shared" si="34"/>
        <v>0</v>
      </c>
      <c r="T53" s="39">
        <f t="shared" si="34"/>
        <v>0</v>
      </c>
      <c r="U53" s="39">
        <f t="shared" si="34"/>
        <v>0</v>
      </c>
      <c r="V53" s="39">
        <f t="shared" si="34"/>
        <v>0</v>
      </c>
      <c r="W53" s="39">
        <f t="shared" si="34"/>
        <v>0</v>
      </c>
      <c r="X53" s="39">
        <f t="shared" si="34"/>
        <v>0</v>
      </c>
      <c r="Y53" s="39">
        <f t="shared" si="35"/>
        <v>0</v>
      </c>
      <c r="Z53" s="39">
        <f t="shared" si="35"/>
        <v>0</v>
      </c>
      <c r="AA53" s="39">
        <f t="shared" si="35"/>
        <v>0</v>
      </c>
      <c r="AB53" s="39">
        <f t="shared" si="35"/>
        <v>0</v>
      </c>
      <c r="AC53" s="39">
        <f t="shared" si="35"/>
        <v>0</v>
      </c>
      <c r="AD53" s="39">
        <f t="shared" si="35"/>
        <v>0</v>
      </c>
      <c r="AE53" s="39">
        <f t="shared" si="35"/>
        <v>0</v>
      </c>
      <c r="AF53" s="39">
        <f t="shared" si="35"/>
        <v>0</v>
      </c>
      <c r="AG53" s="39">
        <f t="shared" si="35"/>
        <v>0</v>
      </c>
      <c r="AH53" s="39">
        <f t="shared" si="35"/>
        <v>0</v>
      </c>
      <c r="AI53" s="39">
        <f t="shared" si="35"/>
        <v>0</v>
      </c>
      <c r="AJ53" s="39">
        <f t="shared" si="35"/>
        <v>0</v>
      </c>
      <c r="AK53" s="39">
        <f t="shared" si="35"/>
        <v>0</v>
      </c>
      <c r="AL53" s="39">
        <f t="shared" si="35"/>
        <v>0</v>
      </c>
      <c r="AM53" s="39">
        <f t="shared" si="35"/>
        <v>0</v>
      </c>
    </row>
    <row r="54" spans="1:41" x14ac:dyDescent="0.25">
      <c r="A54" s="248" t="s">
        <v>96</v>
      </c>
      <c r="B54" s="249" t="s">
        <v>93</v>
      </c>
      <c r="C54" s="250">
        <v>3</v>
      </c>
      <c r="D54" s="251" t="s">
        <v>115</v>
      </c>
      <c r="E54" s="252">
        <v>46084</v>
      </c>
      <c r="F54" s="253">
        <v>0.79166666666666663</v>
      </c>
      <c r="G54" s="254" t="s">
        <v>24</v>
      </c>
      <c r="H54" s="254" t="s">
        <v>18</v>
      </c>
      <c r="I54" s="255" t="s">
        <v>186</v>
      </c>
      <c r="J54" s="256" t="s">
        <v>190</v>
      </c>
      <c r="K54" s="3">
        <f t="shared" si="31"/>
        <v>3</v>
      </c>
      <c r="L54" t="str">
        <f t="shared" si="32"/>
        <v/>
      </c>
      <c r="M54" s="39">
        <f t="shared" si="28"/>
        <v>165</v>
      </c>
      <c r="N54" s="42">
        <f t="shared" si="33"/>
        <v>20</v>
      </c>
      <c r="O54" s="39">
        <f t="shared" si="34"/>
        <v>0</v>
      </c>
      <c r="P54" s="39">
        <f t="shared" si="34"/>
        <v>70</v>
      </c>
      <c r="Q54" s="39">
        <f t="shared" si="34"/>
        <v>0</v>
      </c>
      <c r="R54" s="39">
        <f t="shared" si="34"/>
        <v>75</v>
      </c>
      <c r="S54" s="39">
        <f t="shared" si="34"/>
        <v>0</v>
      </c>
      <c r="T54" s="39">
        <f t="shared" si="34"/>
        <v>0</v>
      </c>
      <c r="U54" s="39">
        <f t="shared" si="34"/>
        <v>0</v>
      </c>
      <c r="V54" s="39">
        <f t="shared" si="34"/>
        <v>0</v>
      </c>
      <c r="W54" s="39">
        <f t="shared" si="34"/>
        <v>0</v>
      </c>
      <c r="X54" s="39">
        <f t="shared" si="34"/>
        <v>0</v>
      </c>
      <c r="Y54" s="39">
        <f t="shared" si="35"/>
        <v>0</v>
      </c>
      <c r="Z54" s="39">
        <f t="shared" si="35"/>
        <v>0</v>
      </c>
      <c r="AA54" s="39">
        <f t="shared" si="35"/>
        <v>0</v>
      </c>
      <c r="AB54" s="39">
        <f t="shared" si="35"/>
        <v>0</v>
      </c>
      <c r="AC54" s="39">
        <f t="shared" si="35"/>
        <v>0</v>
      </c>
      <c r="AD54" s="39">
        <f t="shared" si="35"/>
        <v>0</v>
      </c>
      <c r="AE54" s="39">
        <f t="shared" si="35"/>
        <v>0</v>
      </c>
      <c r="AF54" s="39">
        <f t="shared" si="35"/>
        <v>0</v>
      </c>
      <c r="AG54" s="39">
        <f t="shared" si="35"/>
        <v>0</v>
      </c>
      <c r="AH54" s="39">
        <f t="shared" si="35"/>
        <v>0</v>
      </c>
      <c r="AI54" s="39">
        <f t="shared" si="35"/>
        <v>0</v>
      </c>
      <c r="AJ54" s="39">
        <f t="shared" si="35"/>
        <v>0</v>
      </c>
      <c r="AK54" s="39">
        <f t="shared" si="35"/>
        <v>0</v>
      </c>
      <c r="AL54" s="39">
        <f t="shared" si="35"/>
        <v>0</v>
      </c>
      <c r="AM54" s="39">
        <f t="shared" si="35"/>
        <v>0</v>
      </c>
    </row>
    <row r="55" spans="1:41" x14ac:dyDescent="0.25">
      <c r="A55" s="309" t="s">
        <v>99</v>
      </c>
      <c r="B55" s="310" t="s">
        <v>94</v>
      </c>
      <c r="C55" s="311">
        <v>3</v>
      </c>
      <c r="D55" s="312" t="s">
        <v>115</v>
      </c>
      <c r="E55" s="313">
        <v>46084</v>
      </c>
      <c r="F55" s="314">
        <v>0.6875</v>
      </c>
      <c r="G55" s="315" t="s">
        <v>28</v>
      </c>
      <c r="H55" s="225"/>
      <c r="I55" s="316" t="s">
        <v>187</v>
      </c>
      <c r="J55" s="317" t="s">
        <v>189</v>
      </c>
      <c r="K55" s="3">
        <f t="shared" si="31"/>
        <v>3</v>
      </c>
      <c r="L55">
        <f t="shared" si="32"/>
        <v>1</v>
      </c>
      <c r="M55" s="39">
        <f t="shared" si="28"/>
        <v>80</v>
      </c>
      <c r="N55" s="42">
        <f t="shared" si="33"/>
        <v>10</v>
      </c>
      <c r="O55" s="39">
        <f t="shared" si="34"/>
        <v>0</v>
      </c>
      <c r="P55" s="39">
        <f t="shared" si="34"/>
        <v>0</v>
      </c>
      <c r="Q55" s="39">
        <f t="shared" si="34"/>
        <v>0</v>
      </c>
      <c r="R55" s="39">
        <f t="shared" si="34"/>
        <v>0</v>
      </c>
      <c r="S55" s="39">
        <f t="shared" si="34"/>
        <v>0</v>
      </c>
      <c r="T55" s="39">
        <f t="shared" si="34"/>
        <v>0</v>
      </c>
      <c r="U55" s="39">
        <f t="shared" si="34"/>
        <v>0</v>
      </c>
      <c r="V55" s="39">
        <f t="shared" si="34"/>
        <v>0</v>
      </c>
      <c r="W55" s="39">
        <f t="shared" si="34"/>
        <v>0</v>
      </c>
      <c r="X55" s="39">
        <f t="shared" si="34"/>
        <v>0</v>
      </c>
      <c r="Y55" s="39">
        <f t="shared" si="35"/>
        <v>0</v>
      </c>
      <c r="Z55" s="39">
        <f t="shared" si="35"/>
        <v>70</v>
      </c>
      <c r="AA55" s="39">
        <f t="shared" si="35"/>
        <v>0</v>
      </c>
      <c r="AB55" s="39">
        <f t="shared" si="35"/>
        <v>0</v>
      </c>
      <c r="AC55" s="39">
        <f t="shared" si="35"/>
        <v>0</v>
      </c>
      <c r="AD55" s="39">
        <f t="shared" si="35"/>
        <v>0</v>
      </c>
      <c r="AE55" s="39">
        <f t="shared" si="35"/>
        <v>0</v>
      </c>
      <c r="AF55" s="39">
        <f t="shared" si="35"/>
        <v>0</v>
      </c>
      <c r="AG55" s="39">
        <f t="shared" si="35"/>
        <v>0</v>
      </c>
      <c r="AH55" s="39">
        <f t="shared" si="35"/>
        <v>0</v>
      </c>
      <c r="AI55" s="39">
        <f t="shared" si="35"/>
        <v>0</v>
      </c>
      <c r="AJ55" s="39">
        <f t="shared" si="35"/>
        <v>0</v>
      </c>
      <c r="AK55" s="39">
        <f t="shared" si="35"/>
        <v>0</v>
      </c>
      <c r="AL55" s="39">
        <f t="shared" si="35"/>
        <v>0</v>
      </c>
      <c r="AM55" s="39">
        <f t="shared" si="35"/>
        <v>0</v>
      </c>
    </row>
    <row r="56" spans="1:41" x14ac:dyDescent="0.25">
      <c r="A56" s="257" t="s">
        <v>89</v>
      </c>
      <c r="B56" s="258" t="s">
        <v>93</v>
      </c>
      <c r="C56" s="259">
        <v>3</v>
      </c>
      <c r="D56" s="260" t="s">
        <v>115</v>
      </c>
      <c r="E56" s="261">
        <v>46084</v>
      </c>
      <c r="F56" s="262">
        <v>0.79166666666666663</v>
      </c>
      <c r="G56" s="263" t="s">
        <v>21</v>
      </c>
      <c r="H56" s="225"/>
      <c r="I56" s="264" t="s">
        <v>187</v>
      </c>
      <c r="J56" s="265" t="s">
        <v>188</v>
      </c>
      <c r="K56" s="3">
        <f t="shared" si="31"/>
        <v>3</v>
      </c>
      <c r="L56">
        <f t="shared" si="32"/>
        <v>1</v>
      </c>
      <c r="M56" s="39">
        <f t="shared" si="28"/>
        <v>85</v>
      </c>
      <c r="N56" s="42">
        <f t="shared" si="33"/>
        <v>10</v>
      </c>
      <c r="O56" s="39">
        <f t="shared" si="34"/>
        <v>0</v>
      </c>
      <c r="P56" s="39">
        <f t="shared" si="34"/>
        <v>0</v>
      </c>
      <c r="Q56" s="39">
        <f t="shared" si="34"/>
        <v>0</v>
      </c>
      <c r="R56" s="39">
        <f t="shared" si="34"/>
        <v>0</v>
      </c>
      <c r="S56" s="39">
        <f t="shared" si="34"/>
        <v>0</v>
      </c>
      <c r="T56" s="39">
        <f t="shared" si="34"/>
        <v>0</v>
      </c>
      <c r="U56" s="39">
        <f t="shared" si="34"/>
        <v>0</v>
      </c>
      <c r="V56" s="39">
        <f t="shared" si="34"/>
        <v>75</v>
      </c>
      <c r="W56" s="39">
        <f t="shared" si="34"/>
        <v>0</v>
      </c>
      <c r="X56" s="39">
        <f t="shared" si="34"/>
        <v>0</v>
      </c>
      <c r="Y56" s="39">
        <f t="shared" si="35"/>
        <v>0</v>
      </c>
      <c r="Z56" s="39">
        <f t="shared" si="35"/>
        <v>0</v>
      </c>
      <c r="AA56" s="39">
        <f t="shared" si="35"/>
        <v>0</v>
      </c>
      <c r="AB56" s="39">
        <f t="shared" si="35"/>
        <v>0</v>
      </c>
      <c r="AC56" s="39">
        <f t="shared" si="35"/>
        <v>0</v>
      </c>
      <c r="AD56" s="39">
        <f t="shared" si="35"/>
        <v>0</v>
      </c>
      <c r="AE56" s="39">
        <f t="shared" si="35"/>
        <v>0</v>
      </c>
      <c r="AF56" s="39">
        <f t="shared" si="35"/>
        <v>0</v>
      </c>
      <c r="AG56" s="39">
        <f t="shared" si="35"/>
        <v>0</v>
      </c>
      <c r="AH56" s="39">
        <f t="shared" si="35"/>
        <v>0</v>
      </c>
      <c r="AI56" s="39">
        <f t="shared" si="35"/>
        <v>0</v>
      </c>
      <c r="AJ56" s="39">
        <f t="shared" si="35"/>
        <v>0</v>
      </c>
      <c r="AK56" s="39">
        <f t="shared" si="35"/>
        <v>0</v>
      </c>
      <c r="AL56" s="39">
        <f t="shared" si="35"/>
        <v>0</v>
      </c>
      <c r="AM56" s="39">
        <f t="shared" si="35"/>
        <v>0</v>
      </c>
    </row>
    <row r="57" spans="1:41" x14ac:dyDescent="0.25">
      <c r="A57" s="231" t="s">
        <v>97</v>
      </c>
      <c r="B57" s="232" t="s">
        <v>89</v>
      </c>
      <c r="C57" s="233">
        <v>3</v>
      </c>
      <c r="D57" s="234" t="s">
        <v>115</v>
      </c>
      <c r="E57" s="235">
        <v>46085</v>
      </c>
      <c r="F57" s="236">
        <v>0.70833333333333337</v>
      </c>
      <c r="G57" s="237" t="s">
        <v>18</v>
      </c>
      <c r="H57" s="237" t="s">
        <v>21</v>
      </c>
      <c r="I57" s="238" t="s">
        <v>186</v>
      </c>
      <c r="J57" s="239" t="s">
        <v>190</v>
      </c>
      <c r="K57" s="3">
        <f t="shared" si="31"/>
        <v>4</v>
      </c>
      <c r="L57" t="str">
        <f t="shared" si="32"/>
        <v/>
      </c>
      <c r="M57" s="39">
        <f t="shared" si="28"/>
        <v>165</v>
      </c>
      <c r="N57" s="42">
        <f t="shared" si="33"/>
        <v>20</v>
      </c>
      <c r="O57" s="39">
        <f t="shared" si="34"/>
        <v>0</v>
      </c>
      <c r="P57" s="39">
        <f t="shared" si="34"/>
        <v>75</v>
      </c>
      <c r="Q57" s="39">
        <f t="shared" si="34"/>
        <v>0</v>
      </c>
      <c r="R57" s="39">
        <f t="shared" si="34"/>
        <v>0</v>
      </c>
      <c r="S57" s="39">
        <f t="shared" si="34"/>
        <v>0</v>
      </c>
      <c r="T57" s="39">
        <f t="shared" si="34"/>
        <v>0</v>
      </c>
      <c r="U57" s="39">
        <f t="shared" si="34"/>
        <v>0</v>
      </c>
      <c r="V57" s="39">
        <f t="shared" si="34"/>
        <v>70</v>
      </c>
      <c r="W57" s="39">
        <f t="shared" si="34"/>
        <v>0</v>
      </c>
      <c r="X57" s="39">
        <f t="shared" si="34"/>
        <v>0</v>
      </c>
      <c r="Y57" s="39">
        <f t="shared" si="35"/>
        <v>0</v>
      </c>
      <c r="Z57" s="39">
        <f t="shared" si="35"/>
        <v>0</v>
      </c>
      <c r="AA57" s="39">
        <f t="shared" si="35"/>
        <v>0</v>
      </c>
      <c r="AB57" s="39">
        <f t="shared" si="35"/>
        <v>0</v>
      </c>
      <c r="AC57" s="39">
        <f t="shared" si="35"/>
        <v>0</v>
      </c>
      <c r="AD57" s="39">
        <f t="shared" si="35"/>
        <v>0</v>
      </c>
      <c r="AE57" s="39">
        <f t="shared" si="35"/>
        <v>0</v>
      </c>
      <c r="AF57" s="39">
        <f t="shared" si="35"/>
        <v>0</v>
      </c>
      <c r="AG57" s="39">
        <f t="shared" si="35"/>
        <v>0</v>
      </c>
      <c r="AH57" s="39">
        <f t="shared" si="35"/>
        <v>0</v>
      </c>
      <c r="AI57" s="39">
        <f t="shared" si="35"/>
        <v>0</v>
      </c>
      <c r="AJ57" s="39">
        <f t="shared" si="35"/>
        <v>0</v>
      </c>
      <c r="AK57" s="39">
        <f t="shared" si="35"/>
        <v>0</v>
      </c>
      <c r="AL57" s="39">
        <f t="shared" si="35"/>
        <v>0</v>
      </c>
      <c r="AM57" s="39">
        <f t="shared" si="35"/>
        <v>0</v>
      </c>
    </row>
    <row r="58" spans="1:41" x14ac:dyDescent="0.25">
      <c r="A58" s="318" t="s">
        <v>98</v>
      </c>
      <c r="B58" s="319" t="s">
        <v>100</v>
      </c>
      <c r="C58" s="320">
        <v>3</v>
      </c>
      <c r="D58" s="321" t="s">
        <v>115</v>
      </c>
      <c r="E58" s="322">
        <v>46085</v>
      </c>
      <c r="F58" s="323">
        <v>0.70833333333333337</v>
      </c>
      <c r="G58" s="324" t="s">
        <v>28</v>
      </c>
      <c r="H58" s="225"/>
      <c r="I58" s="325" t="s">
        <v>187</v>
      </c>
      <c r="J58" s="326" t="s">
        <v>189</v>
      </c>
      <c r="K58" s="3">
        <f t="shared" si="31"/>
        <v>4</v>
      </c>
      <c r="L58">
        <f t="shared" si="32"/>
        <v>1</v>
      </c>
      <c r="M58" s="39">
        <f t="shared" si="28"/>
        <v>80</v>
      </c>
      <c r="N58" s="42">
        <f t="shared" si="33"/>
        <v>10</v>
      </c>
      <c r="O58" s="39">
        <f t="shared" si="34"/>
        <v>0</v>
      </c>
      <c r="P58" s="39">
        <f t="shared" si="34"/>
        <v>0</v>
      </c>
      <c r="Q58" s="39">
        <f t="shared" si="34"/>
        <v>0</v>
      </c>
      <c r="R58" s="39">
        <f t="shared" si="34"/>
        <v>0</v>
      </c>
      <c r="S58" s="39">
        <f t="shared" si="34"/>
        <v>0</v>
      </c>
      <c r="T58" s="39">
        <f t="shared" si="34"/>
        <v>0</v>
      </c>
      <c r="U58" s="39">
        <f t="shared" si="34"/>
        <v>0</v>
      </c>
      <c r="V58" s="39">
        <f t="shared" si="34"/>
        <v>0</v>
      </c>
      <c r="W58" s="39">
        <f t="shared" si="34"/>
        <v>0</v>
      </c>
      <c r="X58" s="39">
        <f t="shared" si="34"/>
        <v>0</v>
      </c>
      <c r="Y58" s="39">
        <f t="shared" si="35"/>
        <v>0</v>
      </c>
      <c r="Z58" s="39">
        <f t="shared" si="35"/>
        <v>70</v>
      </c>
      <c r="AA58" s="39">
        <f t="shared" si="35"/>
        <v>0</v>
      </c>
      <c r="AB58" s="39">
        <f t="shared" si="35"/>
        <v>0</v>
      </c>
      <c r="AC58" s="39">
        <f t="shared" si="35"/>
        <v>0</v>
      </c>
      <c r="AD58" s="39">
        <f t="shared" si="35"/>
        <v>0</v>
      </c>
      <c r="AE58" s="39">
        <f t="shared" si="35"/>
        <v>0</v>
      </c>
      <c r="AF58" s="39">
        <f t="shared" si="35"/>
        <v>0</v>
      </c>
      <c r="AG58" s="39">
        <f t="shared" si="35"/>
        <v>0</v>
      </c>
      <c r="AH58" s="39">
        <f t="shared" si="35"/>
        <v>0</v>
      </c>
      <c r="AI58" s="39">
        <f t="shared" si="35"/>
        <v>0</v>
      </c>
      <c r="AJ58" s="39">
        <f t="shared" si="35"/>
        <v>0</v>
      </c>
      <c r="AK58" s="39">
        <f t="shared" si="35"/>
        <v>0</v>
      </c>
      <c r="AL58" s="39">
        <f t="shared" si="35"/>
        <v>0</v>
      </c>
      <c r="AM58" s="39">
        <f t="shared" si="35"/>
        <v>0</v>
      </c>
    </row>
    <row r="59" spans="1:41" x14ac:dyDescent="0.25">
      <c r="A59" s="309" t="s">
        <v>92</v>
      </c>
      <c r="B59" s="310" t="s">
        <v>89</v>
      </c>
      <c r="C59" s="311">
        <v>3</v>
      </c>
      <c r="D59" s="312" t="s">
        <v>115</v>
      </c>
      <c r="E59" s="313">
        <v>46086</v>
      </c>
      <c r="F59" s="314">
        <v>0.6875</v>
      </c>
      <c r="G59" s="315" t="s">
        <v>20</v>
      </c>
      <c r="H59" s="225"/>
      <c r="I59" s="316" t="s">
        <v>186</v>
      </c>
      <c r="J59" s="317" t="s">
        <v>189</v>
      </c>
      <c r="K59" s="3">
        <f t="shared" si="31"/>
        <v>5</v>
      </c>
      <c r="L59">
        <f t="shared" si="32"/>
        <v>1</v>
      </c>
      <c r="M59" s="39">
        <f t="shared" si="28"/>
        <v>80</v>
      </c>
      <c r="N59" s="42">
        <f t="shared" si="33"/>
        <v>10</v>
      </c>
      <c r="O59" s="39">
        <f t="shared" si="34"/>
        <v>0</v>
      </c>
      <c r="P59" s="39">
        <f t="shared" si="34"/>
        <v>0</v>
      </c>
      <c r="Q59" s="39">
        <f t="shared" si="34"/>
        <v>0</v>
      </c>
      <c r="R59" s="39">
        <f t="shared" si="34"/>
        <v>0</v>
      </c>
      <c r="S59" s="39">
        <f t="shared" si="34"/>
        <v>70</v>
      </c>
      <c r="T59" s="39">
        <f t="shared" si="34"/>
        <v>0</v>
      </c>
      <c r="U59" s="39">
        <f t="shared" si="34"/>
        <v>0</v>
      </c>
      <c r="V59" s="39">
        <f t="shared" si="34"/>
        <v>0</v>
      </c>
      <c r="W59" s="39">
        <f t="shared" si="34"/>
        <v>0</v>
      </c>
      <c r="X59" s="39">
        <f t="shared" si="34"/>
        <v>0</v>
      </c>
      <c r="Y59" s="39">
        <f t="shared" si="35"/>
        <v>0</v>
      </c>
      <c r="Z59" s="39">
        <f t="shared" si="35"/>
        <v>0</v>
      </c>
      <c r="AA59" s="39">
        <f t="shared" si="35"/>
        <v>0</v>
      </c>
      <c r="AB59" s="39">
        <f t="shared" si="35"/>
        <v>0</v>
      </c>
      <c r="AC59" s="39">
        <f t="shared" si="35"/>
        <v>0</v>
      </c>
      <c r="AD59" s="39">
        <f t="shared" si="35"/>
        <v>0</v>
      </c>
      <c r="AE59" s="39">
        <f t="shared" si="35"/>
        <v>0</v>
      </c>
      <c r="AF59" s="39">
        <f t="shared" si="35"/>
        <v>0</v>
      </c>
      <c r="AG59" s="39">
        <f t="shared" si="35"/>
        <v>0</v>
      </c>
      <c r="AH59" s="39">
        <f t="shared" si="35"/>
        <v>0</v>
      </c>
      <c r="AI59" s="39">
        <f t="shared" si="35"/>
        <v>0</v>
      </c>
      <c r="AJ59" s="39">
        <f t="shared" si="35"/>
        <v>0</v>
      </c>
      <c r="AK59" s="39">
        <f t="shared" si="35"/>
        <v>0</v>
      </c>
      <c r="AL59" s="39">
        <f t="shared" si="35"/>
        <v>0</v>
      </c>
      <c r="AM59" s="39">
        <f t="shared" si="35"/>
        <v>0</v>
      </c>
    </row>
    <row r="60" spans="1:41" x14ac:dyDescent="0.25">
      <c r="A60" s="248" t="s">
        <v>94</v>
      </c>
      <c r="B60" s="249" t="s">
        <v>92</v>
      </c>
      <c r="C60" s="250">
        <v>3</v>
      </c>
      <c r="D60" s="251" t="s">
        <v>115</v>
      </c>
      <c r="E60" s="252">
        <v>46086</v>
      </c>
      <c r="F60" s="253">
        <v>0.79166666666666663</v>
      </c>
      <c r="G60" s="254" t="s">
        <v>19</v>
      </c>
      <c r="H60" s="254" t="s">
        <v>20</v>
      </c>
      <c r="I60" s="255" t="s">
        <v>186</v>
      </c>
      <c r="J60" s="256" t="s">
        <v>190</v>
      </c>
      <c r="K60" s="3">
        <f t="shared" si="31"/>
        <v>5</v>
      </c>
      <c r="L60" t="str">
        <f t="shared" si="32"/>
        <v/>
      </c>
      <c r="M60" s="39">
        <f t="shared" si="28"/>
        <v>165</v>
      </c>
      <c r="N60" s="42">
        <f t="shared" si="33"/>
        <v>20</v>
      </c>
      <c r="O60" s="39">
        <f t="shared" si="34"/>
        <v>75</v>
      </c>
      <c r="P60" s="39">
        <f t="shared" si="34"/>
        <v>0</v>
      </c>
      <c r="Q60" s="39">
        <f t="shared" si="34"/>
        <v>0</v>
      </c>
      <c r="R60" s="39">
        <f t="shared" si="34"/>
        <v>0</v>
      </c>
      <c r="S60" s="39">
        <f t="shared" si="34"/>
        <v>70</v>
      </c>
      <c r="T60" s="39">
        <f t="shared" si="34"/>
        <v>0</v>
      </c>
      <c r="U60" s="39">
        <f t="shared" si="34"/>
        <v>0</v>
      </c>
      <c r="V60" s="39">
        <f t="shared" si="34"/>
        <v>0</v>
      </c>
      <c r="W60" s="39">
        <f t="shared" si="34"/>
        <v>0</v>
      </c>
      <c r="X60" s="39">
        <f t="shared" si="34"/>
        <v>0</v>
      </c>
      <c r="Y60" s="39">
        <f t="shared" si="35"/>
        <v>0</v>
      </c>
      <c r="Z60" s="39">
        <f t="shared" si="35"/>
        <v>0</v>
      </c>
      <c r="AA60" s="39">
        <f t="shared" si="35"/>
        <v>0</v>
      </c>
      <c r="AB60" s="39">
        <f t="shared" si="35"/>
        <v>0</v>
      </c>
      <c r="AC60" s="39">
        <f t="shared" si="35"/>
        <v>0</v>
      </c>
      <c r="AD60" s="39">
        <f t="shared" si="35"/>
        <v>0</v>
      </c>
      <c r="AE60" s="39">
        <f t="shared" si="35"/>
        <v>0</v>
      </c>
      <c r="AF60" s="39">
        <f t="shared" si="35"/>
        <v>0</v>
      </c>
      <c r="AG60" s="39">
        <f t="shared" si="35"/>
        <v>0</v>
      </c>
      <c r="AH60" s="39">
        <f t="shared" si="35"/>
        <v>0</v>
      </c>
      <c r="AI60" s="39">
        <f t="shared" si="35"/>
        <v>0</v>
      </c>
      <c r="AJ60" s="39">
        <f t="shared" si="35"/>
        <v>0</v>
      </c>
      <c r="AK60" s="39">
        <f t="shared" si="35"/>
        <v>0</v>
      </c>
      <c r="AL60" s="39">
        <f t="shared" si="35"/>
        <v>0</v>
      </c>
      <c r="AM60" s="39">
        <f t="shared" si="35"/>
        <v>0</v>
      </c>
    </row>
    <row r="61" spans="1:41" x14ac:dyDescent="0.25">
      <c r="A61" s="309" t="s">
        <v>90</v>
      </c>
      <c r="B61" s="310" t="s">
        <v>101</v>
      </c>
      <c r="C61" s="311">
        <v>3</v>
      </c>
      <c r="D61" s="312" t="s">
        <v>115</v>
      </c>
      <c r="E61" s="313">
        <v>46086</v>
      </c>
      <c r="F61" s="314">
        <v>0.6875</v>
      </c>
      <c r="G61" s="315" t="s">
        <v>106</v>
      </c>
      <c r="H61" s="225"/>
      <c r="I61" s="316" t="s">
        <v>187</v>
      </c>
      <c r="J61" s="317" t="s">
        <v>189</v>
      </c>
      <c r="K61" s="3">
        <f t="shared" si="31"/>
        <v>5</v>
      </c>
      <c r="L61">
        <f t="shared" si="32"/>
        <v>1</v>
      </c>
      <c r="M61" s="39">
        <f t="shared" si="28"/>
        <v>80</v>
      </c>
      <c r="N61" s="42">
        <f t="shared" si="33"/>
        <v>10</v>
      </c>
      <c r="O61" s="39">
        <f t="shared" ref="O61:X70" si="36">IF($G61=O$1,VLOOKUP($J61,$AP:$AQ,2,FALSE),IF($H61=O$1,70,0))</f>
        <v>0</v>
      </c>
      <c r="P61" s="39">
        <f t="shared" si="36"/>
        <v>0</v>
      </c>
      <c r="Q61" s="39">
        <f t="shared" si="36"/>
        <v>0</v>
      </c>
      <c r="R61" s="39">
        <f t="shared" si="36"/>
        <v>0</v>
      </c>
      <c r="S61" s="39">
        <f t="shared" si="36"/>
        <v>0</v>
      </c>
      <c r="T61" s="39">
        <f t="shared" si="36"/>
        <v>0</v>
      </c>
      <c r="U61" s="39">
        <f t="shared" si="36"/>
        <v>0</v>
      </c>
      <c r="V61" s="39">
        <f t="shared" si="36"/>
        <v>0</v>
      </c>
      <c r="W61" s="39">
        <f t="shared" si="36"/>
        <v>0</v>
      </c>
      <c r="X61" s="39">
        <f t="shared" si="36"/>
        <v>0</v>
      </c>
      <c r="Y61" s="39">
        <f t="shared" ref="Y61:AM70" si="37">IF($G61=Y$1,VLOOKUP($J61,$AP:$AQ,2,FALSE),IF($H61=Y$1,70,0))</f>
        <v>0</v>
      </c>
      <c r="Z61" s="39">
        <f t="shared" si="37"/>
        <v>0</v>
      </c>
      <c r="AA61" s="39">
        <f t="shared" si="37"/>
        <v>0</v>
      </c>
      <c r="AB61" s="39">
        <f t="shared" si="37"/>
        <v>0</v>
      </c>
      <c r="AC61" s="39">
        <f t="shared" si="37"/>
        <v>70</v>
      </c>
      <c r="AD61" s="39">
        <f t="shared" si="37"/>
        <v>0</v>
      </c>
      <c r="AE61" s="39">
        <f t="shared" si="37"/>
        <v>0</v>
      </c>
      <c r="AF61" s="39">
        <f t="shared" si="37"/>
        <v>0</v>
      </c>
      <c r="AG61" s="39">
        <f t="shared" si="37"/>
        <v>0</v>
      </c>
      <c r="AH61" s="39">
        <f t="shared" si="37"/>
        <v>0</v>
      </c>
      <c r="AI61" s="39">
        <f t="shared" si="37"/>
        <v>0</v>
      </c>
      <c r="AJ61" s="39">
        <f t="shared" si="37"/>
        <v>0</v>
      </c>
      <c r="AK61" s="39">
        <f t="shared" si="37"/>
        <v>0</v>
      </c>
      <c r="AL61" s="39">
        <f t="shared" si="37"/>
        <v>0</v>
      </c>
      <c r="AM61" s="39">
        <f t="shared" si="37"/>
        <v>0</v>
      </c>
    </row>
    <row r="62" spans="1:41" x14ac:dyDescent="0.25">
      <c r="A62" s="257" t="s">
        <v>96</v>
      </c>
      <c r="B62" s="258" t="s">
        <v>92</v>
      </c>
      <c r="C62" s="259">
        <v>3</v>
      </c>
      <c r="D62" s="260" t="s">
        <v>115</v>
      </c>
      <c r="E62" s="261">
        <v>46086</v>
      </c>
      <c r="F62" s="262">
        <v>0.79166666666666663</v>
      </c>
      <c r="G62" s="263" t="s">
        <v>21</v>
      </c>
      <c r="H62" s="225"/>
      <c r="I62" s="264" t="s">
        <v>187</v>
      </c>
      <c r="J62" s="265" t="s">
        <v>188</v>
      </c>
      <c r="K62" s="3">
        <f t="shared" si="31"/>
        <v>5</v>
      </c>
      <c r="L62">
        <f t="shared" si="32"/>
        <v>1</v>
      </c>
      <c r="M62" s="39">
        <f t="shared" si="28"/>
        <v>85</v>
      </c>
      <c r="N62" s="42">
        <f t="shared" si="33"/>
        <v>10</v>
      </c>
      <c r="O62" s="39">
        <f t="shared" si="36"/>
        <v>0</v>
      </c>
      <c r="P62" s="39">
        <f t="shared" si="36"/>
        <v>0</v>
      </c>
      <c r="Q62" s="39">
        <f t="shared" si="36"/>
        <v>0</v>
      </c>
      <c r="R62" s="39">
        <f t="shared" si="36"/>
        <v>0</v>
      </c>
      <c r="S62" s="39">
        <f t="shared" si="36"/>
        <v>0</v>
      </c>
      <c r="T62" s="39">
        <f t="shared" si="36"/>
        <v>0</v>
      </c>
      <c r="U62" s="39">
        <f t="shared" si="36"/>
        <v>0</v>
      </c>
      <c r="V62" s="39">
        <f t="shared" si="36"/>
        <v>75</v>
      </c>
      <c r="W62" s="39">
        <f t="shared" si="36"/>
        <v>0</v>
      </c>
      <c r="X62" s="39">
        <f t="shared" si="36"/>
        <v>0</v>
      </c>
      <c r="Y62" s="39">
        <f t="shared" si="37"/>
        <v>0</v>
      </c>
      <c r="Z62" s="39">
        <f t="shared" si="37"/>
        <v>0</v>
      </c>
      <c r="AA62" s="39">
        <f t="shared" si="37"/>
        <v>0</v>
      </c>
      <c r="AB62" s="39">
        <f t="shared" si="37"/>
        <v>0</v>
      </c>
      <c r="AC62" s="39">
        <f t="shared" si="37"/>
        <v>0</v>
      </c>
      <c r="AD62" s="39">
        <f t="shared" si="37"/>
        <v>0</v>
      </c>
      <c r="AE62" s="39">
        <f t="shared" si="37"/>
        <v>0</v>
      </c>
      <c r="AF62" s="39">
        <f t="shared" si="37"/>
        <v>0</v>
      </c>
      <c r="AG62" s="39">
        <f t="shared" si="37"/>
        <v>0</v>
      </c>
      <c r="AH62" s="39">
        <f t="shared" si="37"/>
        <v>0</v>
      </c>
      <c r="AI62" s="39">
        <f t="shared" si="37"/>
        <v>0</v>
      </c>
      <c r="AJ62" s="39">
        <f t="shared" si="37"/>
        <v>0</v>
      </c>
      <c r="AK62" s="39">
        <f t="shared" si="37"/>
        <v>0</v>
      </c>
      <c r="AL62" s="39">
        <f t="shared" si="37"/>
        <v>0</v>
      </c>
      <c r="AM62" s="39">
        <f t="shared" si="37"/>
        <v>0</v>
      </c>
    </row>
    <row r="63" spans="1:41" x14ac:dyDescent="0.25">
      <c r="A63" s="318" t="s">
        <v>97</v>
      </c>
      <c r="B63" s="319" t="s">
        <v>93</v>
      </c>
      <c r="C63" s="320">
        <v>3</v>
      </c>
      <c r="D63" s="321" t="s">
        <v>115</v>
      </c>
      <c r="E63" s="322">
        <v>46087</v>
      </c>
      <c r="F63" s="323">
        <v>0.70833333333333337</v>
      </c>
      <c r="G63" s="324" t="s">
        <v>73</v>
      </c>
      <c r="H63" s="225"/>
      <c r="I63" s="325" t="s">
        <v>186</v>
      </c>
      <c r="J63" s="326" t="s">
        <v>189</v>
      </c>
      <c r="K63" s="3">
        <f t="shared" si="31"/>
        <v>6</v>
      </c>
      <c r="L63">
        <f t="shared" si="32"/>
        <v>1</v>
      </c>
      <c r="M63" s="39">
        <f t="shared" si="28"/>
        <v>80</v>
      </c>
      <c r="N63" s="42">
        <f t="shared" si="33"/>
        <v>10</v>
      </c>
      <c r="O63" s="39">
        <f t="shared" si="36"/>
        <v>0</v>
      </c>
      <c r="P63" s="39">
        <f t="shared" si="36"/>
        <v>0</v>
      </c>
      <c r="Q63" s="39">
        <f t="shared" si="36"/>
        <v>0</v>
      </c>
      <c r="R63" s="39">
        <f t="shared" si="36"/>
        <v>0</v>
      </c>
      <c r="S63" s="39">
        <f t="shared" si="36"/>
        <v>0</v>
      </c>
      <c r="T63" s="39">
        <f t="shared" si="36"/>
        <v>70</v>
      </c>
      <c r="U63" s="39">
        <f t="shared" si="36"/>
        <v>0</v>
      </c>
      <c r="V63" s="39">
        <f t="shared" si="36"/>
        <v>0</v>
      </c>
      <c r="W63" s="39">
        <f t="shared" si="36"/>
        <v>0</v>
      </c>
      <c r="X63" s="39">
        <f t="shared" si="36"/>
        <v>0</v>
      </c>
      <c r="Y63" s="39">
        <f t="shared" si="37"/>
        <v>0</v>
      </c>
      <c r="Z63" s="39">
        <f t="shared" si="37"/>
        <v>0</v>
      </c>
      <c r="AA63" s="39">
        <f t="shared" si="37"/>
        <v>0</v>
      </c>
      <c r="AB63" s="39">
        <f t="shared" si="37"/>
        <v>0</v>
      </c>
      <c r="AC63" s="39">
        <f t="shared" si="37"/>
        <v>0</v>
      </c>
      <c r="AD63" s="39">
        <f t="shared" si="37"/>
        <v>0</v>
      </c>
      <c r="AE63" s="39">
        <f t="shared" si="37"/>
        <v>0</v>
      </c>
      <c r="AF63" s="39">
        <f t="shared" si="37"/>
        <v>0</v>
      </c>
      <c r="AG63" s="39">
        <f t="shared" si="37"/>
        <v>0</v>
      </c>
      <c r="AH63" s="39">
        <f t="shared" si="37"/>
        <v>0</v>
      </c>
      <c r="AI63" s="39">
        <f t="shared" si="37"/>
        <v>0</v>
      </c>
      <c r="AJ63" s="39">
        <f t="shared" si="37"/>
        <v>0</v>
      </c>
      <c r="AK63" s="39">
        <f t="shared" si="37"/>
        <v>0</v>
      </c>
      <c r="AL63" s="39">
        <f t="shared" si="37"/>
        <v>0</v>
      </c>
      <c r="AM63" s="39">
        <f t="shared" si="37"/>
        <v>0</v>
      </c>
    </row>
    <row r="64" spans="1:41" x14ac:dyDescent="0.25">
      <c r="A64" s="318" t="s">
        <v>95</v>
      </c>
      <c r="B64" s="319" t="s">
        <v>96</v>
      </c>
      <c r="C64" s="320">
        <v>3</v>
      </c>
      <c r="D64" s="321" t="s">
        <v>115</v>
      </c>
      <c r="E64" s="322">
        <v>46087</v>
      </c>
      <c r="F64" s="323">
        <v>0.6875</v>
      </c>
      <c r="G64" s="324" t="s">
        <v>106</v>
      </c>
      <c r="H64" s="225"/>
      <c r="I64" s="325" t="s">
        <v>187</v>
      </c>
      <c r="J64" s="326" t="s">
        <v>189</v>
      </c>
      <c r="K64" s="3">
        <f t="shared" si="31"/>
        <v>6</v>
      </c>
      <c r="L64">
        <f t="shared" si="32"/>
        <v>1</v>
      </c>
      <c r="M64" s="39">
        <f t="shared" si="28"/>
        <v>80</v>
      </c>
      <c r="N64" s="42">
        <f t="shared" si="33"/>
        <v>10</v>
      </c>
      <c r="O64" s="39">
        <f t="shared" si="36"/>
        <v>0</v>
      </c>
      <c r="P64" s="39">
        <f t="shared" si="36"/>
        <v>0</v>
      </c>
      <c r="Q64" s="39">
        <f t="shared" si="36"/>
        <v>0</v>
      </c>
      <c r="R64" s="39">
        <f t="shared" si="36"/>
        <v>0</v>
      </c>
      <c r="S64" s="39">
        <f t="shared" si="36"/>
        <v>0</v>
      </c>
      <c r="T64" s="39">
        <f t="shared" si="36"/>
        <v>0</v>
      </c>
      <c r="U64" s="39">
        <f t="shared" si="36"/>
        <v>0</v>
      </c>
      <c r="V64" s="39">
        <f t="shared" si="36"/>
        <v>0</v>
      </c>
      <c r="W64" s="39">
        <f t="shared" si="36"/>
        <v>0</v>
      </c>
      <c r="X64" s="39">
        <f t="shared" si="36"/>
        <v>0</v>
      </c>
      <c r="Y64" s="39">
        <f t="shared" si="37"/>
        <v>0</v>
      </c>
      <c r="Z64" s="39">
        <f t="shared" si="37"/>
        <v>0</v>
      </c>
      <c r="AA64" s="39">
        <f t="shared" si="37"/>
        <v>0</v>
      </c>
      <c r="AB64" s="39">
        <f t="shared" si="37"/>
        <v>0</v>
      </c>
      <c r="AC64" s="39">
        <f t="shared" si="37"/>
        <v>70</v>
      </c>
      <c r="AD64" s="39">
        <f t="shared" si="37"/>
        <v>0</v>
      </c>
      <c r="AE64" s="39">
        <f t="shared" si="37"/>
        <v>0</v>
      </c>
      <c r="AF64" s="39">
        <f t="shared" si="37"/>
        <v>0</v>
      </c>
      <c r="AG64" s="39">
        <f t="shared" si="37"/>
        <v>0</v>
      </c>
      <c r="AH64" s="39">
        <f t="shared" si="37"/>
        <v>0</v>
      </c>
      <c r="AI64" s="39">
        <f t="shared" si="37"/>
        <v>0</v>
      </c>
      <c r="AJ64" s="39">
        <f t="shared" si="37"/>
        <v>0</v>
      </c>
      <c r="AK64" s="39">
        <f t="shared" si="37"/>
        <v>0</v>
      </c>
      <c r="AL64" s="39">
        <f t="shared" si="37"/>
        <v>0</v>
      </c>
      <c r="AM64" s="39">
        <f t="shared" si="37"/>
        <v>0</v>
      </c>
    </row>
    <row r="65" spans="1:41" s="41" customFormat="1" x14ac:dyDescent="0.25">
      <c r="A65" s="240" t="s">
        <v>197</v>
      </c>
      <c r="B65" s="241" t="s">
        <v>198</v>
      </c>
      <c r="C65" s="242">
        <v>3</v>
      </c>
      <c r="D65" s="243" t="s">
        <v>115</v>
      </c>
      <c r="E65" s="244">
        <v>46087</v>
      </c>
      <c r="F65" s="245">
        <v>0.79166666666666663</v>
      </c>
      <c r="G65" s="308" t="s">
        <v>106</v>
      </c>
      <c r="H65" s="328"/>
      <c r="I65" s="246" t="s">
        <v>187</v>
      </c>
      <c r="J65" s="247" t="s">
        <v>188</v>
      </c>
      <c r="K65" s="307"/>
      <c r="M65" s="39">
        <f t="shared" si="28"/>
        <v>85</v>
      </c>
      <c r="N65" s="42">
        <f t="shared" ref="N65" si="38">IF(H65&lt;&gt;"",20,10)</f>
        <v>10</v>
      </c>
      <c r="O65" s="39">
        <f t="shared" si="36"/>
        <v>0</v>
      </c>
      <c r="P65" s="39">
        <f t="shared" si="36"/>
        <v>0</v>
      </c>
      <c r="Q65" s="39">
        <f t="shared" si="36"/>
        <v>0</v>
      </c>
      <c r="R65" s="39">
        <f t="shared" si="36"/>
        <v>0</v>
      </c>
      <c r="S65" s="39">
        <f t="shared" si="36"/>
        <v>0</v>
      </c>
      <c r="T65" s="39">
        <f t="shared" si="36"/>
        <v>0</v>
      </c>
      <c r="U65" s="39">
        <f t="shared" si="36"/>
        <v>0</v>
      </c>
      <c r="V65" s="39">
        <f t="shared" si="36"/>
        <v>0</v>
      </c>
      <c r="W65" s="39">
        <f t="shared" si="36"/>
        <v>0</v>
      </c>
      <c r="X65" s="39">
        <f t="shared" si="36"/>
        <v>0</v>
      </c>
      <c r="Y65" s="39">
        <f t="shared" si="37"/>
        <v>0</v>
      </c>
      <c r="Z65" s="39">
        <f t="shared" si="37"/>
        <v>0</v>
      </c>
      <c r="AA65" s="39">
        <f t="shared" si="37"/>
        <v>0</v>
      </c>
      <c r="AB65" s="39">
        <f t="shared" si="37"/>
        <v>0</v>
      </c>
      <c r="AC65" s="39">
        <f t="shared" si="37"/>
        <v>75</v>
      </c>
      <c r="AD65" s="39">
        <f t="shared" si="37"/>
        <v>0</v>
      </c>
      <c r="AE65" s="39">
        <f t="shared" si="37"/>
        <v>0</v>
      </c>
      <c r="AF65" s="39">
        <f t="shared" si="37"/>
        <v>0</v>
      </c>
      <c r="AG65" s="39">
        <f t="shared" si="37"/>
        <v>0</v>
      </c>
      <c r="AH65" s="39">
        <f t="shared" si="37"/>
        <v>0</v>
      </c>
      <c r="AI65" s="39">
        <f t="shared" si="37"/>
        <v>0</v>
      </c>
      <c r="AJ65" s="39">
        <f t="shared" si="37"/>
        <v>0</v>
      </c>
      <c r="AK65" s="39">
        <f t="shared" si="37"/>
        <v>0</v>
      </c>
      <c r="AL65" s="39">
        <f t="shared" si="37"/>
        <v>0</v>
      </c>
      <c r="AM65" s="39">
        <f t="shared" si="37"/>
        <v>0</v>
      </c>
    </row>
    <row r="66" spans="1:41" x14ac:dyDescent="0.25">
      <c r="A66" s="257" t="s">
        <v>97</v>
      </c>
      <c r="B66" s="258" t="s">
        <v>94</v>
      </c>
      <c r="C66" s="259">
        <v>3</v>
      </c>
      <c r="D66" s="260" t="s">
        <v>115</v>
      </c>
      <c r="E66" s="261">
        <v>46088</v>
      </c>
      <c r="F66" s="262">
        <v>0.375</v>
      </c>
      <c r="G66" s="327" t="s">
        <v>107</v>
      </c>
      <c r="H66" s="328"/>
      <c r="I66" s="329" t="s">
        <v>186</v>
      </c>
      <c r="J66" s="265" t="s">
        <v>188</v>
      </c>
      <c r="K66" s="3">
        <f t="shared" si="31"/>
        <v>7</v>
      </c>
      <c r="L66">
        <f t="shared" si="32"/>
        <v>1</v>
      </c>
      <c r="M66" s="39">
        <f t="shared" si="28"/>
        <v>85</v>
      </c>
      <c r="N66" s="42">
        <f t="shared" si="33"/>
        <v>10</v>
      </c>
      <c r="O66" s="39">
        <f t="shared" si="36"/>
        <v>0</v>
      </c>
      <c r="P66" s="39">
        <f t="shared" si="36"/>
        <v>0</v>
      </c>
      <c r="Q66" s="39">
        <f t="shared" si="36"/>
        <v>0</v>
      </c>
      <c r="R66" s="39">
        <f t="shared" si="36"/>
        <v>0</v>
      </c>
      <c r="S66" s="39">
        <f t="shared" si="36"/>
        <v>0</v>
      </c>
      <c r="T66" s="39">
        <f t="shared" si="36"/>
        <v>0</v>
      </c>
      <c r="U66" s="39">
        <f t="shared" si="36"/>
        <v>0</v>
      </c>
      <c r="V66" s="39">
        <f t="shared" si="36"/>
        <v>0</v>
      </c>
      <c r="W66" s="39">
        <f t="shared" si="36"/>
        <v>0</v>
      </c>
      <c r="X66" s="39">
        <f t="shared" si="36"/>
        <v>0</v>
      </c>
      <c r="Y66" s="39">
        <f t="shared" si="37"/>
        <v>0</v>
      </c>
      <c r="Z66" s="39">
        <f t="shared" si="37"/>
        <v>0</v>
      </c>
      <c r="AA66" s="39">
        <f t="shared" si="37"/>
        <v>0</v>
      </c>
      <c r="AB66" s="39">
        <f t="shared" si="37"/>
        <v>0</v>
      </c>
      <c r="AC66" s="39">
        <f t="shared" si="37"/>
        <v>0</v>
      </c>
      <c r="AD66" s="39">
        <f t="shared" si="37"/>
        <v>75</v>
      </c>
      <c r="AE66" s="39">
        <f t="shared" si="37"/>
        <v>0</v>
      </c>
      <c r="AF66" s="39">
        <f t="shared" si="37"/>
        <v>0</v>
      </c>
      <c r="AG66" s="39">
        <f t="shared" si="37"/>
        <v>0</v>
      </c>
      <c r="AH66" s="39">
        <f t="shared" si="37"/>
        <v>0</v>
      </c>
      <c r="AI66" s="39">
        <f t="shared" si="37"/>
        <v>0</v>
      </c>
      <c r="AJ66" s="39">
        <f t="shared" si="37"/>
        <v>0</v>
      </c>
      <c r="AK66" s="39">
        <f t="shared" si="37"/>
        <v>0</v>
      </c>
      <c r="AL66" s="39">
        <f t="shared" si="37"/>
        <v>0</v>
      </c>
      <c r="AM66" s="39">
        <f t="shared" si="37"/>
        <v>0</v>
      </c>
    </row>
    <row r="67" spans="1:41" x14ac:dyDescent="0.25">
      <c r="A67" s="330" t="s">
        <v>97</v>
      </c>
      <c r="B67" s="331" t="s">
        <v>94</v>
      </c>
      <c r="C67" s="332">
        <v>3</v>
      </c>
      <c r="D67" s="333" t="s">
        <v>115</v>
      </c>
      <c r="E67" s="252">
        <v>46088</v>
      </c>
      <c r="F67" s="253">
        <v>0.47916666666666669</v>
      </c>
      <c r="G67" s="284" t="s">
        <v>20</v>
      </c>
      <c r="H67" s="284" t="s">
        <v>21</v>
      </c>
      <c r="I67" s="334" t="s">
        <v>186</v>
      </c>
      <c r="J67" s="335" t="s">
        <v>190</v>
      </c>
      <c r="K67" s="3">
        <f t="shared" si="31"/>
        <v>7</v>
      </c>
      <c r="L67" t="str">
        <f t="shared" si="32"/>
        <v/>
      </c>
      <c r="M67" s="39">
        <f t="shared" si="28"/>
        <v>165</v>
      </c>
      <c r="N67" s="42">
        <f t="shared" si="33"/>
        <v>20</v>
      </c>
      <c r="O67" s="39">
        <f t="shared" si="36"/>
        <v>0</v>
      </c>
      <c r="P67" s="39">
        <f t="shared" si="36"/>
        <v>0</v>
      </c>
      <c r="Q67" s="39">
        <f t="shared" si="36"/>
        <v>0</v>
      </c>
      <c r="R67" s="39">
        <f t="shared" si="36"/>
        <v>0</v>
      </c>
      <c r="S67" s="39">
        <f t="shared" si="36"/>
        <v>75</v>
      </c>
      <c r="T67" s="39">
        <f t="shared" si="36"/>
        <v>0</v>
      </c>
      <c r="U67" s="39">
        <f t="shared" si="36"/>
        <v>0</v>
      </c>
      <c r="V67" s="39">
        <f t="shared" si="36"/>
        <v>70</v>
      </c>
      <c r="W67" s="39">
        <f t="shared" si="36"/>
        <v>0</v>
      </c>
      <c r="X67" s="39">
        <f t="shared" si="36"/>
        <v>0</v>
      </c>
      <c r="Y67" s="39">
        <f t="shared" si="37"/>
        <v>0</v>
      </c>
      <c r="Z67" s="39">
        <f t="shared" si="37"/>
        <v>0</v>
      </c>
      <c r="AA67" s="39">
        <f t="shared" si="37"/>
        <v>0</v>
      </c>
      <c r="AB67" s="39">
        <f t="shared" si="37"/>
        <v>0</v>
      </c>
      <c r="AC67" s="39">
        <f t="shared" si="37"/>
        <v>0</v>
      </c>
      <c r="AD67" s="39">
        <f t="shared" si="37"/>
        <v>0</v>
      </c>
      <c r="AE67" s="39">
        <f t="shared" si="37"/>
        <v>0</v>
      </c>
      <c r="AF67" s="39">
        <f t="shared" si="37"/>
        <v>0</v>
      </c>
      <c r="AG67" s="39">
        <f t="shared" si="37"/>
        <v>0</v>
      </c>
      <c r="AH67" s="39">
        <f t="shared" si="37"/>
        <v>0</v>
      </c>
      <c r="AI67" s="39">
        <f t="shared" si="37"/>
        <v>0</v>
      </c>
      <c r="AJ67" s="39">
        <f t="shared" si="37"/>
        <v>0</v>
      </c>
      <c r="AK67" s="39">
        <f t="shared" si="37"/>
        <v>0</v>
      </c>
      <c r="AL67" s="39">
        <f t="shared" si="37"/>
        <v>0</v>
      </c>
      <c r="AM67" s="39">
        <f t="shared" si="37"/>
        <v>0</v>
      </c>
    </row>
    <row r="68" spans="1:41" x14ac:dyDescent="0.25">
      <c r="A68" s="330" t="s">
        <v>93</v>
      </c>
      <c r="B68" s="331" t="s">
        <v>89</v>
      </c>
      <c r="C68" s="332">
        <v>3</v>
      </c>
      <c r="D68" s="333" t="s">
        <v>115</v>
      </c>
      <c r="E68" s="252">
        <v>46088</v>
      </c>
      <c r="F68" s="253">
        <v>0.58333333333333337</v>
      </c>
      <c r="G68" s="336" t="s">
        <v>22</v>
      </c>
      <c r="H68" s="284" t="s">
        <v>18</v>
      </c>
      <c r="I68" s="337" t="s">
        <v>186</v>
      </c>
      <c r="J68" s="338" t="s">
        <v>190</v>
      </c>
      <c r="K68" s="3">
        <f t="shared" si="31"/>
        <v>7</v>
      </c>
      <c r="L68" t="str">
        <f t="shared" si="32"/>
        <v/>
      </c>
      <c r="M68" s="39">
        <f t="shared" si="28"/>
        <v>165</v>
      </c>
      <c r="N68" s="42">
        <f t="shared" si="33"/>
        <v>20</v>
      </c>
      <c r="O68" s="39">
        <f t="shared" si="36"/>
        <v>0</v>
      </c>
      <c r="P68" s="39">
        <f t="shared" si="36"/>
        <v>70</v>
      </c>
      <c r="Q68" s="39">
        <f t="shared" si="36"/>
        <v>75</v>
      </c>
      <c r="R68" s="39">
        <f t="shared" si="36"/>
        <v>0</v>
      </c>
      <c r="S68" s="39">
        <f t="shared" si="36"/>
        <v>0</v>
      </c>
      <c r="T68" s="39">
        <f t="shared" si="36"/>
        <v>0</v>
      </c>
      <c r="U68" s="39">
        <f t="shared" si="36"/>
        <v>0</v>
      </c>
      <c r="V68" s="39">
        <f t="shared" si="36"/>
        <v>0</v>
      </c>
      <c r="W68" s="39">
        <f t="shared" si="36"/>
        <v>0</v>
      </c>
      <c r="X68" s="39">
        <f t="shared" si="36"/>
        <v>0</v>
      </c>
      <c r="Y68" s="39">
        <f t="shared" si="37"/>
        <v>0</v>
      </c>
      <c r="Z68" s="39">
        <f t="shared" si="37"/>
        <v>0</v>
      </c>
      <c r="AA68" s="39">
        <f t="shared" si="37"/>
        <v>0</v>
      </c>
      <c r="AB68" s="39">
        <f t="shared" si="37"/>
        <v>0</v>
      </c>
      <c r="AC68" s="39">
        <f t="shared" si="37"/>
        <v>0</v>
      </c>
      <c r="AD68" s="39">
        <f t="shared" si="37"/>
        <v>0</v>
      </c>
      <c r="AE68" s="39">
        <f t="shared" si="37"/>
        <v>0</v>
      </c>
      <c r="AF68" s="39">
        <f t="shared" si="37"/>
        <v>0</v>
      </c>
      <c r="AG68" s="39">
        <f t="shared" si="37"/>
        <v>0</v>
      </c>
      <c r="AH68" s="39">
        <f t="shared" si="37"/>
        <v>0</v>
      </c>
      <c r="AI68" s="39">
        <f t="shared" si="37"/>
        <v>0</v>
      </c>
      <c r="AJ68" s="39">
        <f t="shared" si="37"/>
        <v>0</v>
      </c>
      <c r="AK68" s="39">
        <f t="shared" si="37"/>
        <v>0</v>
      </c>
      <c r="AL68" s="39">
        <f t="shared" si="37"/>
        <v>0</v>
      </c>
      <c r="AM68" s="39">
        <f t="shared" si="37"/>
        <v>0</v>
      </c>
    </row>
    <row r="69" spans="1:41" x14ac:dyDescent="0.25">
      <c r="A69" s="330" t="s">
        <v>96</v>
      </c>
      <c r="B69" s="331" t="s">
        <v>92</v>
      </c>
      <c r="C69" s="332">
        <v>3</v>
      </c>
      <c r="D69" s="333" t="s">
        <v>115</v>
      </c>
      <c r="E69" s="252">
        <v>46088</v>
      </c>
      <c r="F69" s="253">
        <v>0.6875</v>
      </c>
      <c r="G69" s="336" t="s">
        <v>18</v>
      </c>
      <c r="H69" s="284" t="s">
        <v>22</v>
      </c>
      <c r="I69" s="339" t="s">
        <v>186</v>
      </c>
      <c r="J69" s="335" t="s">
        <v>190</v>
      </c>
      <c r="K69" s="3">
        <f t="shared" si="31"/>
        <v>7</v>
      </c>
      <c r="L69" t="str">
        <f t="shared" si="32"/>
        <v/>
      </c>
      <c r="M69" s="39">
        <f t="shared" si="28"/>
        <v>165</v>
      </c>
      <c r="N69" s="42">
        <f t="shared" si="33"/>
        <v>20</v>
      </c>
      <c r="O69" s="39">
        <f t="shared" si="36"/>
        <v>0</v>
      </c>
      <c r="P69" s="39">
        <f t="shared" si="36"/>
        <v>75</v>
      </c>
      <c r="Q69" s="39">
        <f t="shared" si="36"/>
        <v>70</v>
      </c>
      <c r="R69" s="39">
        <f t="shared" si="36"/>
        <v>0</v>
      </c>
      <c r="S69" s="39">
        <f t="shared" si="36"/>
        <v>0</v>
      </c>
      <c r="T69" s="39">
        <f t="shared" si="36"/>
        <v>0</v>
      </c>
      <c r="U69" s="39">
        <f t="shared" si="36"/>
        <v>0</v>
      </c>
      <c r="V69" s="39">
        <f t="shared" si="36"/>
        <v>0</v>
      </c>
      <c r="W69" s="39">
        <f t="shared" si="36"/>
        <v>0</v>
      </c>
      <c r="X69" s="39">
        <f t="shared" si="36"/>
        <v>0</v>
      </c>
      <c r="Y69" s="39">
        <f t="shared" si="37"/>
        <v>0</v>
      </c>
      <c r="Z69" s="39">
        <f t="shared" si="37"/>
        <v>0</v>
      </c>
      <c r="AA69" s="39">
        <f t="shared" si="37"/>
        <v>0</v>
      </c>
      <c r="AB69" s="39">
        <f t="shared" si="37"/>
        <v>0</v>
      </c>
      <c r="AC69" s="39">
        <f t="shared" si="37"/>
        <v>0</v>
      </c>
      <c r="AD69" s="39">
        <f t="shared" si="37"/>
        <v>0</v>
      </c>
      <c r="AE69" s="39">
        <f t="shared" si="37"/>
        <v>0</v>
      </c>
      <c r="AF69" s="39">
        <f t="shared" si="37"/>
        <v>0</v>
      </c>
      <c r="AG69" s="39">
        <f t="shared" si="37"/>
        <v>0</v>
      </c>
      <c r="AH69" s="39">
        <f t="shared" si="37"/>
        <v>0</v>
      </c>
      <c r="AI69" s="39">
        <f t="shared" si="37"/>
        <v>0</v>
      </c>
      <c r="AJ69" s="39">
        <f t="shared" si="37"/>
        <v>0</v>
      </c>
      <c r="AK69" s="39">
        <f t="shared" si="37"/>
        <v>0</v>
      </c>
      <c r="AL69" s="39">
        <f t="shared" si="37"/>
        <v>0</v>
      </c>
      <c r="AM69" s="39">
        <f t="shared" si="37"/>
        <v>0</v>
      </c>
    </row>
    <row r="70" spans="1:41" x14ac:dyDescent="0.25">
      <c r="A70" s="257" t="s">
        <v>98</v>
      </c>
      <c r="B70" s="258" t="s">
        <v>89</v>
      </c>
      <c r="C70" s="259">
        <v>3</v>
      </c>
      <c r="D70" s="260" t="s">
        <v>115</v>
      </c>
      <c r="E70" s="261">
        <v>46088</v>
      </c>
      <c r="F70" s="262">
        <v>0.375</v>
      </c>
      <c r="G70" s="263" t="s">
        <v>19</v>
      </c>
      <c r="H70" s="328"/>
      <c r="I70" s="264" t="s">
        <v>187</v>
      </c>
      <c r="J70" s="265" t="s">
        <v>188</v>
      </c>
      <c r="K70" s="3">
        <f>WEEKDAY(E70)</f>
        <v>7</v>
      </c>
      <c r="L70">
        <f>IF(G70=L$1,1,IF(H70=L$1,1,""))</f>
        <v>1</v>
      </c>
      <c r="M70" s="39">
        <f t="shared" si="28"/>
        <v>85</v>
      </c>
      <c r="N70" s="42">
        <f>IF(H70&lt;&gt;"",20,10)</f>
        <v>10</v>
      </c>
      <c r="O70" s="39">
        <f t="shared" si="36"/>
        <v>75</v>
      </c>
      <c r="P70" s="39">
        <f t="shared" si="36"/>
        <v>0</v>
      </c>
      <c r="Q70" s="39">
        <f t="shared" si="36"/>
        <v>0</v>
      </c>
      <c r="R70" s="39">
        <f t="shared" si="36"/>
        <v>0</v>
      </c>
      <c r="S70" s="39">
        <f t="shared" si="36"/>
        <v>0</v>
      </c>
      <c r="T70" s="39">
        <f t="shared" si="36"/>
        <v>0</v>
      </c>
      <c r="U70" s="39">
        <f t="shared" si="36"/>
        <v>0</v>
      </c>
      <c r="V70" s="39">
        <f t="shared" si="36"/>
        <v>0</v>
      </c>
      <c r="W70" s="39">
        <f t="shared" si="36"/>
        <v>0</v>
      </c>
      <c r="X70" s="39">
        <f t="shared" si="36"/>
        <v>0</v>
      </c>
      <c r="Y70" s="39">
        <f t="shared" si="37"/>
        <v>0</v>
      </c>
      <c r="Z70" s="39">
        <f t="shared" si="37"/>
        <v>0</v>
      </c>
      <c r="AA70" s="39">
        <f t="shared" si="37"/>
        <v>0</v>
      </c>
      <c r="AB70" s="39">
        <f t="shared" si="37"/>
        <v>0</v>
      </c>
      <c r="AC70" s="39">
        <f t="shared" si="37"/>
        <v>0</v>
      </c>
      <c r="AD70" s="39">
        <f t="shared" si="37"/>
        <v>0</v>
      </c>
      <c r="AE70" s="39">
        <f t="shared" si="37"/>
        <v>0</v>
      </c>
      <c r="AF70" s="39">
        <f t="shared" si="37"/>
        <v>0</v>
      </c>
      <c r="AG70" s="39">
        <f t="shared" si="37"/>
        <v>0</v>
      </c>
      <c r="AH70" s="39">
        <f t="shared" si="37"/>
        <v>0</v>
      </c>
      <c r="AI70" s="39">
        <f t="shared" si="37"/>
        <v>0</v>
      </c>
      <c r="AJ70" s="39">
        <f t="shared" si="37"/>
        <v>0</v>
      </c>
      <c r="AK70" s="39">
        <f t="shared" si="37"/>
        <v>0</v>
      </c>
      <c r="AL70" s="39">
        <f t="shared" si="37"/>
        <v>0</v>
      </c>
      <c r="AM70" s="39">
        <f t="shared" si="37"/>
        <v>0</v>
      </c>
    </row>
    <row r="71" spans="1:41" x14ac:dyDescent="0.25">
      <c r="A71" s="257" t="s">
        <v>92</v>
      </c>
      <c r="B71" s="258" t="s">
        <v>90</v>
      </c>
      <c r="C71" s="259">
        <v>3</v>
      </c>
      <c r="D71" s="260" t="s">
        <v>115</v>
      </c>
      <c r="E71" s="261">
        <v>46088</v>
      </c>
      <c r="F71" s="262">
        <v>0.47916666666666669</v>
      </c>
      <c r="G71" s="263" t="s">
        <v>19</v>
      </c>
      <c r="H71" s="328"/>
      <c r="I71" s="264" t="s">
        <v>187</v>
      </c>
      <c r="J71" s="265" t="s">
        <v>188</v>
      </c>
      <c r="K71" s="3">
        <f>WEEKDAY(E71)</f>
        <v>7</v>
      </c>
      <c r="L71">
        <f>IF(G71=L$1,1,IF(H71=L$1,1,""))</f>
        <v>1</v>
      </c>
      <c r="M71" s="39">
        <f t="shared" si="28"/>
        <v>85</v>
      </c>
      <c r="N71" s="42">
        <f>IF(H71&lt;&gt;"",20,10)</f>
        <v>10</v>
      </c>
      <c r="O71" s="39">
        <f t="shared" ref="O71:X79" si="39">IF($G71=O$1,VLOOKUP($J71,$AP:$AQ,2,FALSE),IF($H71=O$1,70,0))</f>
        <v>75</v>
      </c>
      <c r="P71" s="39">
        <f t="shared" si="39"/>
        <v>0</v>
      </c>
      <c r="Q71" s="39">
        <f t="shared" si="39"/>
        <v>0</v>
      </c>
      <c r="R71" s="39">
        <f t="shared" si="39"/>
        <v>0</v>
      </c>
      <c r="S71" s="39">
        <f t="shared" si="39"/>
        <v>0</v>
      </c>
      <c r="T71" s="39">
        <f t="shared" si="39"/>
        <v>0</v>
      </c>
      <c r="U71" s="39">
        <f t="shared" si="39"/>
        <v>0</v>
      </c>
      <c r="V71" s="39">
        <f t="shared" si="39"/>
        <v>0</v>
      </c>
      <c r="W71" s="39">
        <f t="shared" si="39"/>
        <v>0</v>
      </c>
      <c r="X71" s="39">
        <f t="shared" si="39"/>
        <v>0</v>
      </c>
      <c r="Y71" s="39">
        <f t="shared" ref="Y71:AM79" si="40">IF($G71=Y$1,VLOOKUP($J71,$AP:$AQ,2,FALSE),IF($H71=Y$1,70,0))</f>
        <v>0</v>
      </c>
      <c r="Z71" s="39">
        <f t="shared" si="40"/>
        <v>0</v>
      </c>
      <c r="AA71" s="39">
        <f t="shared" si="40"/>
        <v>0</v>
      </c>
      <c r="AB71" s="39">
        <f t="shared" si="40"/>
        <v>0</v>
      </c>
      <c r="AC71" s="39">
        <f t="shared" si="40"/>
        <v>0</v>
      </c>
      <c r="AD71" s="39">
        <f t="shared" si="40"/>
        <v>0</v>
      </c>
      <c r="AE71" s="39">
        <f t="shared" si="40"/>
        <v>0</v>
      </c>
      <c r="AF71" s="39">
        <f t="shared" si="40"/>
        <v>0</v>
      </c>
      <c r="AG71" s="39">
        <f t="shared" si="40"/>
        <v>0</v>
      </c>
      <c r="AH71" s="39">
        <f t="shared" si="40"/>
        <v>0</v>
      </c>
      <c r="AI71" s="39">
        <f t="shared" si="40"/>
        <v>0</v>
      </c>
      <c r="AJ71" s="39">
        <f t="shared" si="40"/>
        <v>0</v>
      </c>
      <c r="AK71" s="39">
        <f t="shared" si="40"/>
        <v>0</v>
      </c>
      <c r="AL71" s="39">
        <f t="shared" si="40"/>
        <v>0</v>
      </c>
      <c r="AM71" s="39">
        <f t="shared" si="40"/>
        <v>0</v>
      </c>
    </row>
    <row r="72" spans="1:41" x14ac:dyDescent="0.25">
      <c r="A72" s="340" t="s">
        <v>99</v>
      </c>
      <c r="B72" s="341" t="s">
        <v>96</v>
      </c>
      <c r="C72" s="342">
        <v>3</v>
      </c>
      <c r="D72" s="343" t="s">
        <v>115</v>
      </c>
      <c r="E72" s="344">
        <v>46088</v>
      </c>
      <c r="F72" s="345">
        <v>0.58333333333333337</v>
      </c>
      <c r="G72" s="346" t="s">
        <v>20</v>
      </c>
      <c r="H72" s="347"/>
      <c r="I72" s="264" t="s">
        <v>187</v>
      </c>
      <c r="J72" s="265" t="s">
        <v>188</v>
      </c>
      <c r="K72" s="3">
        <f>WEEKDAY(E72)</f>
        <v>7</v>
      </c>
      <c r="L72">
        <f>IF(G72=L$1,1,IF(H72=L$1,1,""))</f>
        <v>1</v>
      </c>
      <c r="M72" s="39">
        <f t="shared" si="28"/>
        <v>85</v>
      </c>
      <c r="N72" s="42">
        <f>IF(H72&lt;&gt;"",20,10)</f>
        <v>10</v>
      </c>
      <c r="O72" s="39">
        <f t="shared" si="39"/>
        <v>0</v>
      </c>
      <c r="P72" s="39">
        <f t="shared" si="39"/>
        <v>0</v>
      </c>
      <c r="Q72" s="39">
        <f t="shared" si="39"/>
        <v>0</v>
      </c>
      <c r="R72" s="39">
        <f t="shared" si="39"/>
        <v>0</v>
      </c>
      <c r="S72" s="39">
        <f t="shared" si="39"/>
        <v>75</v>
      </c>
      <c r="T72" s="39">
        <f t="shared" si="39"/>
        <v>0</v>
      </c>
      <c r="U72" s="39">
        <f t="shared" si="39"/>
        <v>0</v>
      </c>
      <c r="V72" s="39">
        <f t="shared" si="39"/>
        <v>0</v>
      </c>
      <c r="W72" s="39">
        <f t="shared" si="39"/>
        <v>0</v>
      </c>
      <c r="X72" s="39">
        <f t="shared" si="39"/>
        <v>0</v>
      </c>
      <c r="Y72" s="39">
        <f t="shared" si="40"/>
        <v>0</v>
      </c>
      <c r="Z72" s="39">
        <f t="shared" si="40"/>
        <v>0</v>
      </c>
      <c r="AA72" s="39">
        <f t="shared" si="40"/>
        <v>0</v>
      </c>
      <c r="AB72" s="39">
        <f t="shared" si="40"/>
        <v>0</v>
      </c>
      <c r="AC72" s="39">
        <f t="shared" si="40"/>
        <v>0</v>
      </c>
      <c r="AD72" s="39">
        <f t="shared" si="40"/>
        <v>0</v>
      </c>
      <c r="AE72" s="39">
        <f t="shared" si="40"/>
        <v>0</v>
      </c>
      <c r="AF72" s="39">
        <f t="shared" si="40"/>
        <v>0</v>
      </c>
      <c r="AG72" s="39">
        <f t="shared" si="40"/>
        <v>0</v>
      </c>
      <c r="AH72" s="39">
        <f t="shared" si="40"/>
        <v>0</v>
      </c>
      <c r="AI72" s="39">
        <f t="shared" si="40"/>
        <v>0</v>
      </c>
      <c r="AJ72" s="39">
        <f t="shared" si="40"/>
        <v>0</v>
      </c>
      <c r="AK72" s="39">
        <f t="shared" si="40"/>
        <v>0</v>
      </c>
      <c r="AL72" s="39">
        <f t="shared" si="40"/>
        <v>0</v>
      </c>
      <c r="AM72" s="39">
        <f t="shared" si="40"/>
        <v>0</v>
      </c>
    </row>
    <row r="73" spans="1:41" x14ac:dyDescent="0.25">
      <c r="A73" s="257" t="s">
        <v>93</v>
      </c>
      <c r="B73" s="258" t="s">
        <v>95</v>
      </c>
      <c r="C73" s="259">
        <v>3</v>
      </c>
      <c r="D73" s="260" t="s">
        <v>115</v>
      </c>
      <c r="E73" s="261">
        <v>46088</v>
      </c>
      <c r="F73" s="262">
        <v>0.6875</v>
      </c>
      <c r="G73" s="263" t="s">
        <v>73</v>
      </c>
      <c r="H73" s="328"/>
      <c r="I73" s="264" t="s">
        <v>187</v>
      </c>
      <c r="J73" s="265" t="s">
        <v>188</v>
      </c>
      <c r="K73" s="3">
        <f>WEEKDAY(E73)</f>
        <v>7</v>
      </c>
      <c r="L73">
        <f>IF(G73=L$1,1,IF(H73=L$1,1,""))</f>
        <v>1</v>
      </c>
      <c r="M73" s="39">
        <f t="shared" si="28"/>
        <v>85</v>
      </c>
      <c r="N73" s="42">
        <f>IF(H73&lt;&gt;"",20,10)</f>
        <v>10</v>
      </c>
      <c r="O73" s="39">
        <f t="shared" si="39"/>
        <v>0</v>
      </c>
      <c r="P73" s="39">
        <f t="shared" si="39"/>
        <v>0</v>
      </c>
      <c r="Q73" s="39">
        <f t="shared" si="39"/>
        <v>0</v>
      </c>
      <c r="R73" s="39">
        <f t="shared" si="39"/>
        <v>0</v>
      </c>
      <c r="S73" s="39">
        <f t="shared" si="39"/>
        <v>0</v>
      </c>
      <c r="T73" s="39">
        <f t="shared" si="39"/>
        <v>75</v>
      </c>
      <c r="U73" s="39">
        <f t="shared" si="39"/>
        <v>0</v>
      </c>
      <c r="V73" s="39">
        <f t="shared" si="39"/>
        <v>0</v>
      </c>
      <c r="W73" s="39">
        <f t="shared" si="39"/>
        <v>0</v>
      </c>
      <c r="X73" s="39">
        <f t="shared" si="39"/>
        <v>0</v>
      </c>
      <c r="Y73" s="39">
        <f t="shared" si="40"/>
        <v>0</v>
      </c>
      <c r="Z73" s="39">
        <f t="shared" si="40"/>
        <v>0</v>
      </c>
      <c r="AA73" s="39">
        <f t="shared" si="40"/>
        <v>0</v>
      </c>
      <c r="AB73" s="39">
        <f t="shared" si="40"/>
        <v>0</v>
      </c>
      <c r="AC73" s="39">
        <f t="shared" si="40"/>
        <v>0</v>
      </c>
      <c r="AD73" s="39">
        <f t="shared" si="40"/>
        <v>0</v>
      </c>
      <c r="AE73" s="39">
        <f t="shared" si="40"/>
        <v>0</v>
      </c>
      <c r="AF73" s="39">
        <f t="shared" si="40"/>
        <v>0</v>
      </c>
      <c r="AG73" s="39">
        <f t="shared" si="40"/>
        <v>0</v>
      </c>
      <c r="AH73" s="39">
        <f t="shared" si="40"/>
        <v>0</v>
      </c>
      <c r="AI73" s="39">
        <f t="shared" si="40"/>
        <v>0</v>
      </c>
      <c r="AJ73" s="39">
        <f t="shared" si="40"/>
        <v>0</v>
      </c>
      <c r="AK73" s="39">
        <f t="shared" si="40"/>
        <v>0</v>
      </c>
      <c r="AL73" s="39">
        <f t="shared" si="40"/>
        <v>0</v>
      </c>
      <c r="AM73" s="39">
        <f t="shared" si="40"/>
        <v>0</v>
      </c>
    </row>
    <row r="74" spans="1:41" x14ac:dyDescent="0.25">
      <c r="A74" s="266" t="s">
        <v>94</v>
      </c>
      <c r="B74" s="267" t="s">
        <v>95</v>
      </c>
      <c r="C74" s="268">
        <v>3</v>
      </c>
      <c r="D74" s="269" t="s">
        <v>115</v>
      </c>
      <c r="E74" s="270">
        <v>46089</v>
      </c>
      <c r="F74" s="271">
        <v>0.375</v>
      </c>
      <c r="G74" s="272" t="s">
        <v>107</v>
      </c>
      <c r="H74" s="225"/>
      <c r="I74" s="273" t="s">
        <v>186</v>
      </c>
      <c r="J74" s="274" t="s">
        <v>189</v>
      </c>
      <c r="K74" s="3">
        <f t="shared" ref="K74:K79" si="41">WEEKDAY(E74)</f>
        <v>1</v>
      </c>
      <c r="L74">
        <f t="shared" ref="L74:L79" si="42">IF(G74=L$1,1,IF(H74=L$1,1,""))</f>
        <v>1</v>
      </c>
      <c r="M74" s="39">
        <f t="shared" si="28"/>
        <v>80</v>
      </c>
      <c r="N74" s="42">
        <f t="shared" ref="N74:N79" si="43">IF(H74&lt;&gt;"",20,10)</f>
        <v>10</v>
      </c>
      <c r="O74" s="39">
        <f t="shared" si="39"/>
        <v>0</v>
      </c>
      <c r="P74" s="39">
        <f t="shared" si="39"/>
        <v>0</v>
      </c>
      <c r="Q74" s="39">
        <f t="shared" si="39"/>
        <v>0</v>
      </c>
      <c r="R74" s="39">
        <f t="shared" si="39"/>
        <v>0</v>
      </c>
      <c r="S74" s="39">
        <f t="shared" si="39"/>
        <v>0</v>
      </c>
      <c r="T74" s="39">
        <f t="shared" si="39"/>
        <v>0</v>
      </c>
      <c r="U74" s="39">
        <f t="shared" si="39"/>
        <v>0</v>
      </c>
      <c r="V74" s="39">
        <f t="shared" si="39"/>
        <v>0</v>
      </c>
      <c r="W74" s="39">
        <f t="shared" si="39"/>
        <v>0</v>
      </c>
      <c r="X74" s="39">
        <f t="shared" si="39"/>
        <v>0</v>
      </c>
      <c r="Y74" s="39">
        <f t="shared" si="40"/>
        <v>0</v>
      </c>
      <c r="Z74" s="39">
        <f t="shared" si="40"/>
        <v>0</v>
      </c>
      <c r="AA74" s="39">
        <f t="shared" si="40"/>
        <v>0</v>
      </c>
      <c r="AB74" s="39">
        <f t="shared" si="40"/>
        <v>0</v>
      </c>
      <c r="AC74" s="39">
        <f t="shared" si="40"/>
        <v>0</v>
      </c>
      <c r="AD74" s="39">
        <f t="shared" si="40"/>
        <v>70</v>
      </c>
      <c r="AE74" s="39">
        <f t="shared" si="40"/>
        <v>0</v>
      </c>
      <c r="AF74" s="39">
        <f t="shared" si="40"/>
        <v>0</v>
      </c>
      <c r="AG74" s="39">
        <f t="shared" si="40"/>
        <v>0</v>
      </c>
      <c r="AH74" s="39">
        <f t="shared" si="40"/>
        <v>0</v>
      </c>
      <c r="AI74" s="39">
        <f t="shared" si="40"/>
        <v>0</v>
      </c>
      <c r="AJ74" s="39">
        <f t="shared" si="40"/>
        <v>0</v>
      </c>
      <c r="AK74" s="39">
        <f t="shared" si="40"/>
        <v>0</v>
      </c>
      <c r="AL74" s="39">
        <f t="shared" si="40"/>
        <v>0</v>
      </c>
      <c r="AM74" s="39">
        <f t="shared" si="40"/>
        <v>0</v>
      </c>
    </row>
    <row r="75" spans="1:41" x14ac:dyDescent="0.25">
      <c r="A75" s="266" t="s">
        <v>93</v>
      </c>
      <c r="B75" s="267" t="s">
        <v>89</v>
      </c>
      <c r="C75" s="268">
        <v>3</v>
      </c>
      <c r="D75" s="269" t="s">
        <v>115</v>
      </c>
      <c r="E75" s="270">
        <v>46089</v>
      </c>
      <c r="F75" s="271">
        <v>0.47916666666666669</v>
      </c>
      <c r="G75" s="272" t="s">
        <v>107</v>
      </c>
      <c r="H75" s="225"/>
      <c r="I75" s="273" t="s">
        <v>186</v>
      </c>
      <c r="J75" s="274" t="s">
        <v>189</v>
      </c>
      <c r="K75" s="3">
        <f t="shared" si="41"/>
        <v>1</v>
      </c>
      <c r="L75">
        <f t="shared" si="42"/>
        <v>1</v>
      </c>
      <c r="M75" s="39">
        <f t="shared" si="28"/>
        <v>80</v>
      </c>
      <c r="N75" s="42">
        <f t="shared" si="43"/>
        <v>10</v>
      </c>
      <c r="O75" s="39">
        <f t="shared" si="39"/>
        <v>0</v>
      </c>
      <c r="P75" s="39">
        <f t="shared" si="39"/>
        <v>0</v>
      </c>
      <c r="Q75" s="39">
        <f t="shared" si="39"/>
        <v>0</v>
      </c>
      <c r="R75" s="39">
        <f t="shared" si="39"/>
        <v>0</v>
      </c>
      <c r="S75" s="39">
        <f t="shared" si="39"/>
        <v>0</v>
      </c>
      <c r="T75" s="39">
        <f t="shared" si="39"/>
        <v>0</v>
      </c>
      <c r="U75" s="39">
        <f t="shared" si="39"/>
        <v>0</v>
      </c>
      <c r="V75" s="39">
        <f t="shared" si="39"/>
        <v>0</v>
      </c>
      <c r="W75" s="39">
        <f t="shared" si="39"/>
        <v>0</v>
      </c>
      <c r="X75" s="39">
        <f t="shared" si="39"/>
        <v>0</v>
      </c>
      <c r="Y75" s="39">
        <f t="shared" si="40"/>
        <v>0</v>
      </c>
      <c r="Z75" s="39">
        <f t="shared" si="40"/>
        <v>0</v>
      </c>
      <c r="AA75" s="39">
        <f t="shared" si="40"/>
        <v>0</v>
      </c>
      <c r="AB75" s="39">
        <f t="shared" si="40"/>
        <v>0</v>
      </c>
      <c r="AC75" s="39">
        <f t="shared" si="40"/>
        <v>0</v>
      </c>
      <c r="AD75" s="39">
        <f t="shared" si="40"/>
        <v>70</v>
      </c>
      <c r="AE75" s="39">
        <f t="shared" si="40"/>
        <v>0</v>
      </c>
      <c r="AF75" s="39">
        <f t="shared" si="40"/>
        <v>0</v>
      </c>
      <c r="AG75" s="39">
        <f t="shared" si="40"/>
        <v>0</v>
      </c>
      <c r="AH75" s="39">
        <f t="shared" si="40"/>
        <v>0</v>
      </c>
      <c r="AI75" s="39">
        <f t="shared" si="40"/>
        <v>0</v>
      </c>
      <c r="AJ75" s="39">
        <f t="shared" si="40"/>
        <v>0</v>
      </c>
      <c r="AK75" s="39">
        <f t="shared" si="40"/>
        <v>0</v>
      </c>
      <c r="AL75" s="39">
        <f t="shared" si="40"/>
        <v>0</v>
      </c>
      <c r="AM75" s="39">
        <f t="shared" si="40"/>
        <v>0</v>
      </c>
    </row>
    <row r="76" spans="1:41" x14ac:dyDescent="0.25">
      <c r="A76" s="266" t="s">
        <v>90</v>
      </c>
      <c r="B76" s="267" t="s">
        <v>92</v>
      </c>
      <c r="C76" s="268">
        <v>3</v>
      </c>
      <c r="D76" s="269" t="s">
        <v>115</v>
      </c>
      <c r="E76" s="270">
        <v>46089</v>
      </c>
      <c r="F76" s="271">
        <v>0.58333333333333337</v>
      </c>
      <c r="G76" s="272" t="s">
        <v>108</v>
      </c>
      <c r="H76" s="225"/>
      <c r="I76" s="273" t="s">
        <v>186</v>
      </c>
      <c r="J76" s="274" t="s">
        <v>189</v>
      </c>
      <c r="K76" s="3">
        <f t="shared" si="41"/>
        <v>1</v>
      </c>
      <c r="L76">
        <f t="shared" si="42"/>
        <v>1</v>
      </c>
      <c r="M76" s="39">
        <f t="shared" ref="M76:M107" si="44">SUM(N76:AM76)</f>
        <v>80</v>
      </c>
      <c r="N76" s="42">
        <f t="shared" si="43"/>
        <v>10</v>
      </c>
      <c r="O76" s="39">
        <f t="shared" si="39"/>
        <v>0</v>
      </c>
      <c r="P76" s="39">
        <f t="shared" si="39"/>
        <v>0</v>
      </c>
      <c r="Q76" s="39">
        <f t="shared" si="39"/>
        <v>0</v>
      </c>
      <c r="R76" s="39">
        <f t="shared" si="39"/>
        <v>0</v>
      </c>
      <c r="S76" s="39">
        <f t="shared" si="39"/>
        <v>0</v>
      </c>
      <c r="T76" s="39">
        <f t="shared" si="39"/>
        <v>0</v>
      </c>
      <c r="U76" s="39">
        <f t="shared" si="39"/>
        <v>0</v>
      </c>
      <c r="V76" s="39">
        <f t="shared" si="39"/>
        <v>0</v>
      </c>
      <c r="W76" s="39">
        <f t="shared" si="39"/>
        <v>0</v>
      </c>
      <c r="X76" s="39">
        <f t="shared" si="39"/>
        <v>0</v>
      </c>
      <c r="Y76" s="39">
        <f t="shared" si="40"/>
        <v>0</v>
      </c>
      <c r="Z76" s="39">
        <f t="shared" si="40"/>
        <v>0</v>
      </c>
      <c r="AA76" s="39">
        <f t="shared" si="40"/>
        <v>0</v>
      </c>
      <c r="AB76" s="39">
        <f t="shared" si="40"/>
        <v>0</v>
      </c>
      <c r="AC76" s="39">
        <f t="shared" si="40"/>
        <v>0</v>
      </c>
      <c r="AD76" s="39">
        <f t="shared" si="40"/>
        <v>0</v>
      </c>
      <c r="AE76" s="39">
        <f t="shared" si="40"/>
        <v>70</v>
      </c>
      <c r="AF76" s="39">
        <f t="shared" si="40"/>
        <v>0</v>
      </c>
      <c r="AG76" s="39">
        <f t="shared" si="40"/>
        <v>0</v>
      </c>
      <c r="AH76" s="39">
        <f t="shared" si="40"/>
        <v>0</v>
      </c>
      <c r="AI76" s="39">
        <f t="shared" si="40"/>
        <v>0</v>
      </c>
      <c r="AJ76" s="39">
        <f t="shared" si="40"/>
        <v>0</v>
      </c>
      <c r="AK76" s="39">
        <f t="shared" si="40"/>
        <v>0</v>
      </c>
      <c r="AL76" s="39">
        <f t="shared" si="40"/>
        <v>0</v>
      </c>
      <c r="AM76" s="39">
        <f t="shared" si="40"/>
        <v>0</v>
      </c>
    </row>
    <row r="77" spans="1:41" x14ac:dyDescent="0.25">
      <c r="A77" s="266" t="s">
        <v>100</v>
      </c>
      <c r="B77" s="267" t="s">
        <v>99</v>
      </c>
      <c r="C77" s="268">
        <v>3</v>
      </c>
      <c r="D77" s="269" t="s">
        <v>115</v>
      </c>
      <c r="E77" s="270">
        <v>46089</v>
      </c>
      <c r="F77" s="271">
        <v>0.375</v>
      </c>
      <c r="G77" s="272" t="s">
        <v>74</v>
      </c>
      <c r="H77" s="225"/>
      <c r="I77" s="273" t="s">
        <v>187</v>
      </c>
      <c r="J77" s="274" t="s">
        <v>189</v>
      </c>
      <c r="K77" s="3">
        <f t="shared" si="41"/>
        <v>1</v>
      </c>
      <c r="L77">
        <f t="shared" si="42"/>
        <v>1</v>
      </c>
      <c r="M77" s="39">
        <f t="shared" si="44"/>
        <v>80</v>
      </c>
      <c r="N77" s="42">
        <f t="shared" si="43"/>
        <v>10</v>
      </c>
      <c r="O77" s="39">
        <f t="shared" si="39"/>
        <v>0</v>
      </c>
      <c r="P77" s="39">
        <f t="shared" si="39"/>
        <v>0</v>
      </c>
      <c r="Q77" s="39">
        <f t="shared" si="39"/>
        <v>0</v>
      </c>
      <c r="R77" s="39">
        <f t="shared" si="39"/>
        <v>0</v>
      </c>
      <c r="S77" s="39">
        <f t="shared" si="39"/>
        <v>0</v>
      </c>
      <c r="T77" s="39">
        <f t="shared" si="39"/>
        <v>0</v>
      </c>
      <c r="U77" s="39">
        <f t="shared" si="39"/>
        <v>0</v>
      </c>
      <c r="V77" s="39">
        <f t="shared" si="39"/>
        <v>0</v>
      </c>
      <c r="W77" s="39">
        <f t="shared" si="39"/>
        <v>0</v>
      </c>
      <c r="X77" s="39">
        <f t="shared" si="39"/>
        <v>0</v>
      </c>
      <c r="Y77" s="39">
        <f t="shared" si="40"/>
        <v>0</v>
      </c>
      <c r="Z77" s="39">
        <f t="shared" si="40"/>
        <v>0</v>
      </c>
      <c r="AA77" s="39">
        <f t="shared" si="40"/>
        <v>70</v>
      </c>
      <c r="AB77" s="39">
        <f t="shared" si="40"/>
        <v>0</v>
      </c>
      <c r="AC77" s="39">
        <f t="shared" si="40"/>
        <v>0</v>
      </c>
      <c r="AD77" s="39">
        <f t="shared" si="40"/>
        <v>0</v>
      </c>
      <c r="AE77" s="39">
        <f t="shared" si="40"/>
        <v>0</v>
      </c>
      <c r="AF77" s="39">
        <f t="shared" si="40"/>
        <v>0</v>
      </c>
      <c r="AG77" s="39">
        <f t="shared" si="40"/>
        <v>0</v>
      </c>
      <c r="AH77" s="39">
        <f t="shared" si="40"/>
        <v>0</v>
      </c>
      <c r="AI77" s="39">
        <f t="shared" si="40"/>
        <v>0</v>
      </c>
      <c r="AJ77" s="39">
        <f t="shared" si="40"/>
        <v>0</v>
      </c>
      <c r="AK77" s="39">
        <f t="shared" si="40"/>
        <v>0</v>
      </c>
      <c r="AL77" s="39">
        <f t="shared" si="40"/>
        <v>0</v>
      </c>
      <c r="AM77" s="39">
        <f t="shared" si="40"/>
        <v>0</v>
      </c>
    </row>
    <row r="78" spans="1:41" x14ac:dyDescent="0.25">
      <c r="A78" s="266" t="s">
        <v>96</v>
      </c>
      <c r="B78" s="267" t="s">
        <v>97</v>
      </c>
      <c r="C78" s="268">
        <v>3</v>
      </c>
      <c r="D78" s="269" t="s">
        <v>115</v>
      </c>
      <c r="E78" s="270">
        <v>46089</v>
      </c>
      <c r="F78" s="271">
        <v>0.47916666666666669</v>
      </c>
      <c r="G78" s="272" t="s">
        <v>75</v>
      </c>
      <c r="H78" s="225"/>
      <c r="I78" s="273" t="s">
        <v>187</v>
      </c>
      <c r="J78" s="274" t="s">
        <v>189</v>
      </c>
      <c r="K78" s="3">
        <f t="shared" si="41"/>
        <v>1</v>
      </c>
      <c r="L78">
        <f t="shared" si="42"/>
        <v>1</v>
      </c>
      <c r="M78" s="39">
        <f t="shared" si="44"/>
        <v>80</v>
      </c>
      <c r="N78" s="42">
        <f t="shared" si="43"/>
        <v>10</v>
      </c>
      <c r="O78" s="39">
        <f t="shared" si="39"/>
        <v>0</v>
      </c>
      <c r="P78" s="39">
        <f t="shared" si="39"/>
        <v>0</v>
      </c>
      <c r="Q78" s="39">
        <f t="shared" si="39"/>
        <v>0</v>
      </c>
      <c r="R78" s="39">
        <f t="shared" si="39"/>
        <v>0</v>
      </c>
      <c r="S78" s="39">
        <f t="shared" si="39"/>
        <v>0</v>
      </c>
      <c r="T78" s="39">
        <f t="shared" si="39"/>
        <v>0</v>
      </c>
      <c r="U78" s="39">
        <f t="shared" si="39"/>
        <v>0</v>
      </c>
      <c r="V78" s="39">
        <f t="shared" si="39"/>
        <v>0</v>
      </c>
      <c r="W78" s="39">
        <f t="shared" si="39"/>
        <v>0</v>
      </c>
      <c r="X78" s="39">
        <f t="shared" si="39"/>
        <v>0</v>
      </c>
      <c r="Y78" s="39">
        <f t="shared" si="40"/>
        <v>0</v>
      </c>
      <c r="Z78" s="39">
        <f t="shared" si="40"/>
        <v>0</v>
      </c>
      <c r="AA78" s="39">
        <f t="shared" si="40"/>
        <v>0</v>
      </c>
      <c r="AB78" s="39">
        <f t="shared" si="40"/>
        <v>70</v>
      </c>
      <c r="AC78" s="39">
        <f t="shared" si="40"/>
        <v>0</v>
      </c>
      <c r="AD78" s="39">
        <f t="shared" si="40"/>
        <v>0</v>
      </c>
      <c r="AE78" s="39">
        <f t="shared" si="40"/>
        <v>0</v>
      </c>
      <c r="AF78" s="39">
        <f t="shared" si="40"/>
        <v>0</v>
      </c>
      <c r="AG78" s="39">
        <f t="shared" si="40"/>
        <v>0</v>
      </c>
      <c r="AH78" s="39">
        <f t="shared" si="40"/>
        <v>0</v>
      </c>
      <c r="AI78" s="39">
        <f t="shared" si="40"/>
        <v>0</v>
      </c>
      <c r="AJ78" s="39">
        <f t="shared" si="40"/>
        <v>0</v>
      </c>
      <c r="AK78" s="39">
        <f t="shared" si="40"/>
        <v>0</v>
      </c>
      <c r="AL78" s="39">
        <f t="shared" si="40"/>
        <v>0</v>
      </c>
      <c r="AM78" s="39">
        <f t="shared" si="40"/>
        <v>0</v>
      </c>
    </row>
    <row r="79" spans="1:41" ht="15.75" thickBot="1" x14ac:dyDescent="0.3">
      <c r="A79" s="430" t="s">
        <v>101</v>
      </c>
      <c r="B79" s="431" t="s">
        <v>98</v>
      </c>
      <c r="C79" s="432">
        <v>3</v>
      </c>
      <c r="D79" s="433" t="s">
        <v>115</v>
      </c>
      <c r="E79" s="434">
        <v>46089</v>
      </c>
      <c r="F79" s="435">
        <v>0.58333333333333337</v>
      </c>
      <c r="G79" s="436" t="s">
        <v>75</v>
      </c>
      <c r="H79" s="437"/>
      <c r="I79" s="438" t="s">
        <v>187</v>
      </c>
      <c r="J79" s="439" t="s">
        <v>189</v>
      </c>
      <c r="K79" s="3">
        <f t="shared" si="41"/>
        <v>1</v>
      </c>
      <c r="L79">
        <f t="shared" si="42"/>
        <v>1</v>
      </c>
      <c r="M79" s="39">
        <f t="shared" si="44"/>
        <v>80</v>
      </c>
      <c r="N79" s="42">
        <f t="shared" si="43"/>
        <v>10</v>
      </c>
      <c r="O79" s="39">
        <f t="shared" si="39"/>
        <v>0</v>
      </c>
      <c r="P79" s="39">
        <f t="shared" si="39"/>
        <v>0</v>
      </c>
      <c r="Q79" s="39">
        <f t="shared" si="39"/>
        <v>0</v>
      </c>
      <c r="R79" s="39">
        <f t="shared" si="39"/>
        <v>0</v>
      </c>
      <c r="S79" s="39">
        <f t="shared" si="39"/>
        <v>0</v>
      </c>
      <c r="T79" s="39">
        <f t="shared" si="39"/>
        <v>0</v>
      </c>
      <c r="U79" s="39">
        <f t="shared" si="39"/>
        <v>0</v>
      </c>
      <c r="V79" s="39">
        <f t="shared" si="39"/>
        <v>0</v>
      </c>
      <c r="W79" s="39">
        <f t="shared" si="39"/>
        <v>0</v>
      </c>
      <c r="X79" s="39">
        <f t="shared" si="39"/>
        <v>0</v>
      </c>
      <c r="Y79" s="39">
        <f t="shared" si="40"/>
        <v>0</v>
      </c>
      <c r="Z79" s="39">
        <f t="shared" si="40"/>
        <v>0</v>
      </c>
      <c r="AA79" s="39">
        <f t="shared" si="40"/>
        <v>0</v>
      </c>
      <c r="AB79" s="39">
        <f t="shared" si="40"/>
        <v>70</v>
      </c>
      <c r="AC79" s="39">
        <f t="shared" si="40"/>
        <v>0</v>
      </c>
      <c r="AD79" s="39">
        <f t="shared" si="40"/>
        <v>0</v>
      </c>
      <c r="AE79" s="39">
        <f t="shared" si="40"/>
        <v>0</v>
      </c>
      <c r="AF79" s="39">
        <f t="shared" si="40"/>
        <v>0</v>
      </c>
      <c r="AG79" s="39">
        <f t="shared" si="40"/>
        <v>0</v>
      </c>
      <c r="AH79" s="39">
        <f t="shared" si="40"/>
        <v>0</v>
      </c>
      <c r="AI79" s="39">
        <f t="shared" si="40"/>
        <v>0</v>
      </c>
      <c r="AJ79" s="39">
        <f t="shared" si="40"/>
        <v>0</v>
      </c>
      <c r="AK79" s="39">
        <f t="shared" si="40"/>
        <v>0</v>
      </c>
      <c r="AL79" s="39">
        <f t="shared" si="40"/>
        <v>0</v>
      </c>
      <c r="AM79" s="39">
        <f t="shared" si="40"/>
        <v>0</v>
      </c>
    </row>
    <row r="80" spans="1:41" ht="13.5" customHeight="1" thickBot="1" x14ac:dyDescent="0.3">
      <c r="A80" s="88"/>
      <c r="B80" s="89"/>
      <c r="C80" s="90"/>
      <c r="D80" s="91"/>
      <c r="E80" s="92"/>
      <c r="F80" s="187"/>
      <c r="G80" s="202"/>
      <c r="H80" s="194"/>
      <c r="I80" s="177"/>
      <c r="J80" s="45" t="str">
        <f>"Totals for " &amp; D79 &amp;"…"</f>
        <v>Totals for Mar 2-Mar 8…</v>
      </c>
      <c r="K80" s="3">
        <v>9</v>
      </c>
      <c r="L80">
        <f t="shared" ref="L80:L95" si="45">IF(G80=L$1,1,IF(H80=L$1,1,""))</f>
        <v>1</v>
      </c>
      <c r="M80" s="46">
        <f t="shared" si="44"/>
        <v>2885</v>
      </c>
      <c r="N80" s="43">
        <f t="shared" ref="N80:AM80" si="46">SUM(N51:N79)</f>
        <v>350</v>
      </c>
      <c r="O80" s="47">
        <f t="shared" si="46"/>
        <v>225</v>
      </c>
      <c r="P80" s="47">
        <f t="shared" si="46"/>
        <v>365</v>
      </c>
      <c r="Q80" s="47">
        <f t="shared" si="46"/>
        <v>145</v>
      </c>
      <c r="R80" s="47">
        <f t="shared" si="46"/>
        <v>75</v>
      </c>
      <c r="S80" s="47">
        <f t="shared" si="46"/>
        <v>290</v>
      </c>
      <c r="T80" s="47">
        <f t="shared" si="46"/>
        <v>145</v>
      </c>
      <c r="U80" s="47">
        <f>SUM(U51:U79)</f>
        <v>75</v>
      </c>
      <c r="V80" s="47">
        <f t="shared" si="46"/>
        <v>290</v>
      </c>
      <c r="W80" s="47">
        <f t="shared" si="46"/>
        <v>0</v>
      </c>
      <c r="X80" s="47">
        <f t="shared" si="46"/>
        <v>0</v>
      </c>
      <c r="Y80" s="47">
        <f t="shared" ref="Y80:AH80" si="47">SUM(Y51:Y79)</f>
        <v>75</v>
      </c>
      <c r="Z80" s="47">
        <f t="shared" si="47"/>
        <v>140</v>
      </c>
      <c r="AA80" s="47">
        <f t="shared" si="47"/>
        <v>70</v>
      </c>
      <c r="AB80" s="47">
        <f t="shared" si="47"/>
        <v>140</v>
      </c>
      <c r="AC80" s="47">
        <f t="shared" si="47"/>
        <v>215</v>
      </c>
      <c r="AD80" s="47">
        <f t="shared" si="47"/>
        <v>215</v>
      </c>
      <c r="AE80" s="47">
        <f t="shared" si="47"/>
        <v>70</v>
      </c>
      <c r="AF80" s="43">
        <f>SUM(AF51:AF79)</f>
        <v>0</v>
      </c>
      <c r="AG80" s="47">
        <f t="shared" si="47"/>
        <v>0</v>
      </c>
      <c r="AH80" s="47">
        <f t="shared" si="47"/>
        <v>0</v>
      </c>
      <c r="AI80" s="47">
        <f t="shared" si="46"/>
        <v>0</v>
      </c>
      <c r="AJ80" s="47">
        <f>SUM(AJ51:AJ79)</f>
        <v>0</v>
      </c>
      <c r="AK80" s="47">
        <f t="shared" si="46"/>
        <v>0</v>
      </c>
      <c r="AL80" s="47">
        <f t="shared" si="46"/>
        <v>0</v>
      </c>
      <c r="AM80" s="47">
        <f t="shared" si="46"/>
        <v>0</v>
      </c>
      <c r="AN80" s="86">
        <f>SUM(N80:AM80)</f>
        <v>2885</v>
      </c>
      <c r="AO80" s="87"/>
    </row>
    <row r="81" spans="1:39" x14ac:dyDescent="0.25">
      <c r="A81" s="218" t="s">
        <v>90</v>
      </c>
      <c r="B81" s="219" t="s">
        <v>97</v>
      </c>
      <c r="C81" s="220">
        <v>4</v>
      </c>
      <c r="D81" s="221" t="s">
        <v>206</v>
      </c>
      <c r="E81" s="222">
        <v>46090</v>
      </c>
      <c r="F81" s="223">
        <v>0.70833333333333337</v>
      </c>
      <c r="G81" s="224" t="s">
        <v>73</v>
      </c>
      <c r="H81" s="225"/>
      <c r="I81" s="226" t="s">
        <v>186</v>
      </c>
      <c r="J81" s="227" t="s">
        <v>188</v>
      </c>
      <c r="K81" s="3">
        <f t="shared" ref="K81:K95" si="48">WEEKDAY(E81)</f>
        <v>2</v>
      </c>
      <c r="L81">
        <f t="shared" si="45"/>
        <v>1</v>
      </c>
      <c r="M81" s="39">
        <f t="shared" si="44"/>
        <v>85</v>
      </c>
      <c r="N81" s="42">
        <f t="shared" ref="N81:N101" si="49">IF(H81&lt;&gt;"",20,10)</f>
        <v>10</v>
      </c>
      <c r="O81" s="39">
        <f t="shared" ref="O81:X82" si="50">IF($G81=O$1,VLOOKUP($J81,$AP:$AQ,2,FALSE),IF($H81=O$1,70,0))</f>
        <v>0</v>
      </c>
      <c r="P81" s="39">
        <f t="shared" si="50"/>
        <v>0</v>
      </c>
      <c r="Q81" s="39">
        <f t="shared" si="50"/>
        <v>0</v>
      </c>
      <c r="R81" s="39">
        <f t="shared" si="50"/>
        <v>0</v>
      </c>
      <c r="S81" s="39">
        <f t="shared" si="50"/>
        <v>0</v>
      </c>
      <c r="T81" s="39">
        <f t="shared" si="50"/>
        <v>75</v>
      </c>
      <c r="U81" s="39">
        <f t="shared" si="50"/>
        <v>0</v>
      </c>
      <c r="V81" s="39">
        <f t="shared" si="50"/>
        <v>0</v>
      </c>
      <c r="W81" s="39">
        <f t="shared" si="50"/>
        <v>0</v>
      </c>
      <c r="X81" s="39">
        <f t="shared" si="50"/>
        <v>0</v>
      </c>
      <c r="Y81" s="39">
        <f t="shared" ref="Y81:AM82" si="51">IF($G81=Y$1,VLOOKUP($J81,$AP:$AQ,2,FALSE),IF($H81=Y$1,70,0))</f>
        <v>0</v>
      </c>
      <c r="Z81" s="39">
        <f t="shared" si="51"/>
        <v>0</v>
      </c>
      <c r="AA81" s="39">
        <f t="shared" si="51"/>
        <v>0</v>
      </c>
      <c r="AB81" s="39">
        <f t="shared" si="51"/>
        <v>0</v>
      </c>
      <c r="AC81" s="39">
        <f t="shared" si="51"/>
        <v>0</v>
      </c>
      <c r="AD81" s="39">
        <f t="shared" si="51"/>
        <v>0</v>
      </c>
      <c r="AE81" s="39">
        <f t="shared" si="51"/>
        <v>0</v>
      </c>
      <c r="AF81" s="39">
        <f t="shared" si="51"/>
        <v>0</v>
      </c>
      <c r="AG81" s="39">
        <f t="shared" si="51"/>
        <v>0</v>
      </c>
      <c r="AH81" s="39">
        <f t="shared" si="51"/>
        <v>0</v>
      </c>
      <c r="AI81" s="39">
        <f t="shared" si="51"/>
        <v>0</v>
      </c>
      <c r="AJ81" s="39">
        <f t="shared" si="51"/>
        <v>0</v>
      </c>
      <c r="AK81" s="39">
        <f t="shared" si="51"/>
        <v>0</v>
      </c>
      <c r="AL81" s="39">
        <f t="shared" si="51"/>
        <v>0</v>
      </c>
      <c r="AM81" s="39">
        <f t="shared" si="51"/>
        <v>0</v>
      </c>
    </row>
    <row r="82" spans="1:39" x14ac:dyDescent="0.25">
      <c r="A82" s="240" t="s">
        <v>94</v>
      </c>
      <c r="B82" s="241" t="s">
        <v>98</v>
      </c>
      <c r="C82" s="242">
        <v>4</v>
      </c>
      <c r="D82" s="243" t="s">
        <v>206</v>
      </c>
      <c r="E82" s="244">
        <v>46090</v>
      </c>
      <c r="F82" s="245">
        <v>0.70833333333333337</v>
      </c>
      <c r="G82" s="308" t="s">
        <v>77</v>
      </c>
      <c r="H82" s="225"/>
      <c r="I82" s="246" t="s">
        <v>187</v>
      </c>
      <c r="J82" s="247" t="s">
        <v>188</v>
      </c>
      <c r="K82" s="3">
        <f t="shared" si="48"/>
        <v>2</v>
      </c>
      <c r="L82">
        <f t="shared" si="45"/>
        <v>1</v>
      </c>
      <c r="M82" s="39">
        <f t="shared" si="44"/>
        <v>85</v>
      </c>
      <c r="N82" s="42">
        <f t="shared" si="49"/>
        <v>10</v>
      </c>
      <c r="O82" s="39">
        <f t="shared" si="50"/>
        <v>0</v>
      </c>
      <c r="P82" s="39">
        <f t="shared" si="50"/>
        <v>0</v>
      </c>
      <c r="Q82" s="39">
        <f t="shared" si="50"/>
        <v>0</v>
      </c>
      <c r="R82" s="39">
        <f t="shared" si="50"/>
        <v>0</v>
      </c>
      <c r="S82" s="39">
        <f t="shared" si="50"/>
        <v>0</v>
      </c>
      <c r="T82" s="39">
        <f t="shared" si="50"/>
        <v>0</v>
      </c>
      <c r="U82" s="39">
        <f t="shared" si="50"/>
        <v>0</v>
      </c>
      <c r="V82" s="39">
        <f t="shared" si="50"/>
        <v>0</v>
      </c>
      <c r="W82" s="39">
        <f t="shared" si="50"/>
        <v>0</v>
      </c>
      <c r="X82" s="39">
        <f t="shared" si="50"/>
        <v>0</v>
      </c>
      <c r="Y82" s="39">
        <f t="shared" si="51"/>
        <v>75</v>
      </c>
      <c r="Z82" s="39">
        <f t="shared" si="51"/>
        <v>0</v>
      </c>
      <c r="AA82" s="39">
        <f t="shared" si="51"/>
        <v>0</v>
      </c>
      <c r="AB82" s="39">
        <f t="shared" si="51"/>
        <v>0</v>
      </c>
      <c r="AC82" s="39">
        <f t="shared" si="51"/>
        <v>0</v>
      </c>
      <c r="AD82" s="39">
        <f t="shared" si="51"/>
        <v>0</v>
      </c>
      <c r="AE82" s="39">
        <f t="shared" si="51"/>
        <v>0</v>
      </c>
      <c r="AF82" s="39">
        <f t="shared" si="51"/>
        <v>0</v>
      </c>
      <c r="AG82" s="39">
        <f t="shared" si="51"/>
        <v>0</v>
      </c>
      <c r="AH82" s="39">
        <f t="shared" si="51"/>
        <v>0</v>
      </c>
      <c r="AI82" s="39">
        <f t="shared" si="51"/>
        <v>0</v>
      </c>
      <c r="AJ82" s="39">
        <f t="shared" si="51"/>
        <v>0</v>
      </c>
      <c r="AK82" s="39">
        <f t="shared" si="51"/>
        <v>0</v>
      </c>
      <c r="AL82" s="39">
        <f t="shared" si="51"/>
        <v>0</v>
      </c>
      <c r="AM82" s="39">
        <f t="shared" si="51"/>
        <v>0</v>
      </c>
    </row>
    <row r="83" spans="1:39" x14ac:dyDescent="0.25">
      <c r="A83" s="421" t="s">
        <v>194</v>
      </c>
      <c r="B83" s="422" t="s">
        <v>195</v>
      </c>
      <c r="C83" s="423">
        <v>4</v>
      </c>
      <c r="D83" s="424" t="s">
        <v>206</v>
      </c>
      <c r="E83" s="425">
        <v>46090</v>
      </c>
      <c r="F83" s="426">
        <v>0.75</v>
      </c>
      <c r="G83" s="427" t="s">
        <v>20</v>
      </c>
      <c r="H83" s="328"/>
      <c r="I83" s="428" t="s">
        <v>196</v>
      </c>
      <c r="J83" s="429" t="s">
        <v>196</v>
      </c>
      <c r="K83" s="3"/>
      <c r="L83">
        <f>IF(G83=L$1,1,IF(H83=L$1,1,""))</f>
        <v>1</v>
      </c>
      <c r="M83" s="39">
        <f t="shared" si="44"/>
        <v>95</v>
      </c>
      <c r="N83" s="42">
        <f t="shared" si="49"/>
        <v>10</v>
      </c>
      <c r="O83" s="39">
        <f t="shared" ref="O83:P111" si="52">IF($G83=O$1,VLOOKUP($J83,$AP:$AQ,2,FALSE),IF($H83=O$1,70,0))</f>
        <v>0</v>
      </c>
      <c r="P83" s="39">
        <f t="shared" si="52"/>
        <v>0</v>
      </c>
      <c r="Q83" s="39"/>
      <c r="R83" s="39">
        <f t="shared" ref="R83:AA92" si="53">IF($G83=R$1,VLOOKUP($J83,$AP:$AQ,2,FALSE),IF($H83=R$1,70,0))</f>
        <v>0</v>
      </c>
      <c r="S83" s="39">
        <f t="shared" si="53"/>
        <v>85</v>
      </c>
      <c r="T83" s="39">
        <f t="shared" si="53"/>
        <v>0</v>
      </c>
      <c r="U83" s="39">
        <f t="shared" si="53"/>
        <v>0</v>
      </c>
      <c r="V83" s="39">
        <f t="shared" si="53"/>
        <v>0</v>
      </c>
      <c r="W83" s="39">
        <f t="shared" si="53"/>
        <v>0</v>
      </c>
      <c r="X83" s="39">
        <f t="shared" si="53"/>
        <v>0</v>
      </c>
      <c r="Y83" s="39">
        <f t="shared" si="53"/>
        <v>0</v>
      </c>
      <c r="Z83" s="39">
        <f t="shared" si="53"/>
        <v>0</v>
      </c>
      <c r="AA83" s="39">
        <f t="shared" si="53"/>
        <v>0</v>
      </c>
      <c r="AB83" s="39">
        <f t="shared" ref="AB83:AM92" si="54">IF($G83=AB$1,VLOOKUP($J83,$AP:$AQ,2,FALSE),IF($H83=AB$1,70,0))</f>
        <v>0</v>
      </c>
      <c r="AC83" s="39">
        <f t="shared" si="54"/>
        <v>0</v>
      </c>
      <c r="AD83" s="39">
        <f t="shared" si="54"/>
        <v>0</v>
      </c>
      <c r="AE83" s="39">
        <f t="shared" si="54"/>
        <v>0</v>
      </c>
      <c r="AF83" s="39">
        <f t="shared" si="54"/>
        <v>0</v>
      </c>
      <c r="AG83" s="39">
        <f t="shared" si="54"/>
        <v>0</v>
      </c>
      <c r="AH83" s="39">
        <f t="shared" si="54"/>
        <v>0</v>
      </c>
      <c r="AI83" s="39">
        <f t="shared" si="54"/>
        <v>0</v>
      </c>
      <c r="AJ83" s="39">
        <f t="shared" si="54"/>
        <v>0</v>
      </c>
      <c r="AK83" s="39">
        <f t="shared" si="54"/>
        <v>0</v>
      </c>
      <c r="AL83" s="39">
        <f t="shared" si="54"/>
        <v>0</v>
      </c>
      <c r="AM83" s="39">
        <f t="shared" si="54"/>
        <v>0</v>
      </c>
    </row>
    <row r="84" spans="1:39" x14ac:dyDescent="0.25">
      <c r="A84" s="257" t="s">
        <v>95</v>
      </c>
      <c r="B84" s="258" t="s">
        <v>99</v>
      </c>
      <c r="C84" s="259">
        <v>4</v>
      </c>
      <c r="D84" s="260" t="s">
        <v>206</v>
      </c>
      <c r="E84" s="261">
        <v>46091</v>
      </c>
      <c r="F84" s="262">
        <v>0.6875</v>
      </c>
      <c r="G84" s="263" t="s">
        <v>18</v>
      </c>
      <c r="H84" s="225"/>
      <c r="I84" s="264" t="s">
        <v>186</v>
      </c>
      <c r="J84" s="265" t="s">
        <v>188</v>
      </c>
      <c r="K84" s="3">
        <f t="shared" si="48"/>
        <v>3</v>
      </c>
      <c r="L84">
        <f t="shared" si="45"/>
        <v>1</v>
      </c>
      <c r="M84" s="39">
        <f t="shared" si="44"/>
        <v>85</v>
      </c>
      <c r="N84" s="42">
        <f t="shared" si="49"/>
        <v>10</v>
      </c>
      <c r="O84" s="39">
        <f t="shared" si="52"/>
        <v>0</v>
      </c>
      <c r="P84" s="39">
        <f t="shared" si="52"/>
        <v>75</v>
      </c>
      <c r="Q84" s="39">
        <f t="shared" ref="Q84:Q95" si="55">IF($G84=Q$1,VLOOKUP($J84,$AP:$AQ,2,FALSE),IF($H84=Q$1,70,0))</f>
        <v>0</v>
      </c>
      <c r="R84" s="39">
        <f t="shared" si="53"/>
        <v>0</v>
      </c>
      <c r="S84" s="39">
        <f t="shared" si="53"/>
        <v>0</v>
      </c>
      <c r="T84" s="39">
        <f t="shared" si="53"/>
        <v>0</v>
      </c>
      <c r="U84" s="39">
        <f t="shared" si="53"/>
        <v>0</v>
      </c>
      <c r="V84" s="39">
        <f t="shared" si="53"/>
        <v>0</v>
      </c>
      <c r="W84" s="39">
        <f t="shared" si="53"/>
        <v>0</v>
      </c>
      <c r="X84" s="39">
        <f t="shared" si="53"/>
        <v>0</v>
      </c>
      <c r="Y84" s="39">
        <f t="shared" si="53"/>
        <v>0</v>
      </c>
      <c r="Z84" s="39">
        <f t="shared" si="53"/>
        <v>0</v>
      </c>
      <c r="AA84" s="39">
        <f t="shared" si="53"/>
        <v>0</v>
      </c>
      <c r="AB84" s="39">
        <f t="shared" si="54"/>
        <v>0</v>
      </c>
      <c r="AC84" s="39">
        <f t="shared" si="54"/>
        <v>0</v>
      </c>
      <c r="AD84" s="39">
        <f t="shared" si="54"/>
        <v>0</v>
      </c>
      <c r="AE84" s="39">
        <f t="shared" si="54"/>
        <v>0</v>
      </c>
      <c r="AF84" s="39">
        <f t="shared" si="54"/>
        <v>0</v>
      </c>
      <c r="AG84" s="39">
        <f t="shared" si="54"/>
        <v>0</v>
      </c>
      <c r="AH84" s="39">
        <f t="shared" si="54"/>
        <v>0</v>
      </c>
      <c r="AI84" s="39">
        <f t="shared" si="54"/>
        <v>0</v>
      </c>
      <c r="AJ84" s="39">
        <f t="shared" si="54"/>
        <v>0</v>
      </c>
      <c r="AK84" s="39">
        <f t="shared" si="54"/>
        <v>0</v>
      </c>
      <c r="AL84" s="39">
        <f t="shared" si="54"/>
        <v>0</v>
      </c>
      <c r="AM84" s="39">
        <f t="shared" si="54"/>
        <v>0</v>
      </c>
    </row>
    <row r="85" spans="1:39" x14ac:dyDescent="0.25">
      <c r="A85" s="248" t="s">
        <v>96</v>
      </c>
      <c r="B85" s="249" t="s">
        <v>93</v>
      </c>
      <c r="C85" s="250">
        <v>4</v>
      </c>
      <c r="D85" s="251" t="s">
        <v>206</v>
      </c>
      <c r="E85" s="252">
        <v>46091</v>
      </c>
      <c r="F85" s="253">
        <v>0.79166666666666663</v>
      </c>
      <c r="G85" s="254" t="s">
        <v>19</v>
      </c>
      <c r="H85" s="254" t="s">
        <v>18</v>
      </c>
      <c r="I85" s="255" t="s">
        <v>186</v>
      </c>
      <c r="J85" s="256" t="s">
        <v>190</v>
      </c>
      <c r="K85" s="3">
        <f t="shared" si="48"/>
        <v>3</v>
      </c>
      <c r="L85" t="str">
        <f t="shared" si="45"/>
        <v/>
      </c>
      <c r="M85" s="39">
        <f t="shared" si="44"/>
        <v>165</v>
      </c>
      <c r="N85" s="42">
        <f t="shared" si="49"/>
        <v>20</v>
      </c>
      <c r="O85" s="39">
        <f t="shared" si="52"/>
        <v>75</v>
      </c>
      <c r="P85" s="39">
        <f t="shared" si="52"/>
        <v>70</v>
      </c>
      <c r="Q85" s="39">
        <f t="shared" si="55"/>
        <v>0</v>
      </c>
      <c r="R85" s="39">
        <f t="shared" si="53"/>
        <v>0</v>
      </c>
      <c r="S85" s="39">
        <f t="shared" si="53"/>
        <v>0</v>
      </c>
      <c r="T85" s="39">
        <f t="shared" si="53"/>
        <v>0</v>
      </c>
      <c r="U85" s="39">
        <f t="shared" si="53"/>
        <v>0</v>
      </c>
      <c r="V85" s="39">
        <f t="shared" si="53"/>
        <v>0</v>
      </c>
      <c r="W85" s="39">
        <f t="shared" si="53"/>
        <v>0</v>
      </c>
      <c r="X85" s="39">
        <f t="shared" si="53"/>
        <v>0</v>
      </c>
      <c r="Y85" s="39">
        <f t="shared" si="53"/>
        <v>0</v>
      </c>
      <c r="Z85" s="39">
        <f t="shared" si="53"/>
        <v>0</v>
      </c>
      <c r="AA85" s="39">
        <f t="shared" si="53"/>
        <v>0</v>
      </c>
      <c r="AB85" s="39">
        <f t="shared" si="54"/>
        <v>0</v>
      </c>
      <c r="AC85" s="39">
        <f t="shared" si="54"/>
        <v>0</v>
      </c>
      <c r="AD85" s="39">
        <f t="shared" si="54"/>
        <v>0</v>
      </c>
      <c r="AE85" s="39">
        <f t="shared" si="54"/>
        <v>0</v>
      </c>
      <c r="AF85" s="39">
        <f t="shared" si="54"/>
        <v>0</v>
      </c>
      <c r="AG85" s="39">
        <f t="shared" si="54"/>
        <v>0</v>
      </c>
      <c r="AH85" s="39">
        <f t="shared" si="54"/>
        <v>0</v>
      </c>
      <c r="AI85" s="39">
        <f t="shared" si="54"/>
        <v>0</v>
      </c>
      <c r="AJ85" s="39">
        <f t="shared" si="54"/>
        <v>0</v>
      </c>
      <c r="AK85" s="39">
        <f t="shared" si="54"/>
        <v>0</v>
      </c>
      <c r="AL85" s="39">
        <f t="shared" si="54"/>
        <v>0</v>
      </c>
      <c r="AM85" s="39">
        <f t="shared" si="54"/>
        <v>0</v>
      </c>
    </row>
    <row r="86" spans="1:39" x14ac:dyDescent="0.25">
      <c r="A86" s="309" t="s">
        <v>99</v>
      </c>
      <c r="B86" s="310" t="s">
        <v>94</v>
      </c>
      <c r="C86" s="311">
        <v>4</v>
      </c>
      <c r="D86" s="312" t="s">
        <v>206</v>
      </c>
      <c r="E86" s="313">
        <v>46091</v>
      </c>
      <c r="F86" s="314">
        <v>0.6875</v>
      </c>
      <c r="G86" s="315" t="s">
        <v>28</v>
      </c>
      <c r="H86" s="225"/>
      <c r="I86" s="316" t="s">
        <v>187</v>
      </c>
      <c r="J86" s="317" t="s">
        <v>189</v>
      </c>
      <c r="K86" s="3">
        <f t="shared" si="48"/>
        <v>3</v>
      </c>
      <c r="L86">
        <f t="shared" si="45"/>
        <v>1</v>
      </c>
      <c r="M86" s="39">
        <f t="shared" si="44"/>
        <v>80</v>
      </c>
      <c r="N86" s="42">
        <f t="shared" si="49"/>
        <v>10</v>
      </c>
      <c r="O86" s="39">
        <f t="shared" si="52"/>
        <v>0</v>
      </c>
      <c r="P86" s="39">
        <f t="shared" si="52"/>
        <v>0</v>
      </c>
      <c r="Q86" s="39">
        <f t="shared" si="55"/>
        <v>0</v>
      </c>
      <c r="R86" s="39">
        <f t="shared" si="53"/>
        <v>0</v>
      </c>
      <c r="S86" s="39">
        <f t="shared" si="53"/>
        <v>0</v>
      </c>
      <c r="T86" s="39">
        <f t="shared" si="53"/>
        <v>0</v>
      </c>
      <c r="U86" s="39">
        <f t="shared" si="53"/>
        <v>0</v>
      </c>
      <c r="V86" s="39">
        <f t="shared" si="53"/>
        <v>0</v>
      </c>
      <c r="W86" s="39">
        <f t="shared" si="53"/>
        <v>0</v>
      </c>
      <c r="X86" s="39">
        <f t="shared" si="53"/>
        <v>0</v>
      </c>
      <c r="Y86" s="39">
        <f t="shared" si="53"/>
        <v>0</v>
      </c>
      <c r="Z86" s="39">
        <f t="shared" si="53"/>
        <v>70</v>
      </c>
      <c r="AA86" s="39">
        <f t="shared" si="53"/>
        <v>0</v>
      </c>
      <c r="AB86" s="39">
        <f t="shared" si="54"/>
        <v>0</v>
      </c>
      <c r="AC86" s="39">
        <f t="shared" si="54"/>
        <v>0</v>
      </c>
      <c r="AD86" s="39">
        <f t="shared" si="54"/>
        <v>0</v>
      </c>
      <c r="AE86" s="39">
        <f t="shared" si="54"/>
        <v>0</v>
      </c>
      <c r="AF86" s="39">
        <f t="shared" si="54"/>
        <v>0</v>
      </c>
      <c r="AG86" s="39">
        <f t="shared" si="54"/>
        <v>0</v>
      </c>
      <c r="AH86" s="39">
        <f t="shared" si="54"/>
        <v>0</v>
      </c>
      <c r="AI86" s="39">
        <f t="shared" si="54"/>
        <v>0</v>
      </c>
      <c r="AJ86" s="39">
        <f t="shared" si="54"/>
        <v>0</v>
      </c>
      <c r="AK86" s="39">
        <f t="shared" si="54"/>
        <v>0</v>
      </c>
      <c r="AL86" s="39">
        <f t="shared" si="54"/>
        <v>0</v>
      </c>
      <c r="AM86" s="39">
        <f t="shared" si="54"/>
        <v>0</v>
      </c>
    </row>
    <row r="87" spans="1:39" x14ac:dyDescent="0.25">
      <c r="A87" s="257" t="s">
        <v>89</v>
      </c>
      <c r="B87" s="258" t="s">
        <v>93</v>
      </c>
      <c r="C87" s="259">
        <v>4</v>
      </c>
      <c r="D87" s="260" t="s">
        <v>206</v>
      </c>
      <c r="E87" s="261">
        <v>46091</v>
      </c>
      <c r="F87" s="262">
        <v>0.79166666666666663</v>
      </c>
      <c r="G87" s="263" t="s">
        <v>24</v>
      </c>
      <c r="H87" s="225"/>
      <c r="I87" s="264" t="s">
        <v>187</v>
      </c>
      <c r="J87" s="265" t="s">
        <v>188</v>
      </c>
      <c r="K87" s="3">
        <f t="shared" si="48"/>
        <v>3</v>
      </c>
      <c r="L87">
        <f t="shared" si="45"/>
        <v>1</v>
      </c>
      <c r="M87" s="39">
        <f t="shared" si="44"/>
        <v>85</v>
      </c>
      <c r="N87" s="42">
        <f t="shared" si="49"/>
        <v>10</v>
      </c>
      <c r="O87" s="39">
        <f t="shared" si="52"/>
        <v>0</v>
      </c>
      <c r="P87" s="39">
        <f t="shared" si="52"/>
        <v>0</v>
      </c>
      <c r="Q87" s="39">
        <f t="shared" si="55"/>
        <v>0</v>
      </c>
      <c r="R87" s="39">
        <f t="shared" si="53"/>
        <v>75</v>
      </c>
      <c r="S87" s="39">
        <f t="shared" si="53"/>
        <v>0</v>
      </c>
      <c r="T87" s="39">
        <f t="shared" si="53"/>
        <v>0</v>
      </c>
      <c r="U87" s="39">
        <f t="shared" si="53"/>
        <v>0</v>
      </c>
      <c r="V87" s="39">
        <f t="shared" si="53"/>
        <v>0</v>
      </c>
      <c r="W87" s="39">
        <f t="shared" si="53"/>
        <v>0</v>
      </c>
      <c r="X87" s="39">
        <f t="shared" si="53"/>
        <v>0</v>
      </c>
      <c r="Y87" s="39">
        <f t="shared" si="53"/>
        <v>0</v>
      </c>
      <c r="Z87" s="39">
        <f t="shared" si="53"/>
        <v>0</v>
      </c>
      <c r="AA87" s="39">
        <f t="shared" si="53"/>
        <v>0</v>
      </c>
      <c r="AB87" s="39">
        <f t="shared" si="54"/>
        <v>0</v>
      </c>
      <c r="AC87" s="39">
        <f t="shared" si="54"/>
        <v>0</v>
      </c>
      <c r="AD87" s="39">
        <f t="shared" si="54"/>
        <v>0</v>
      </c>
      <c r="AE87" s="39">
        <f t="shared" si="54"/>
        <v>0</v>
      </c>
      <c r="AF87" s="39">
        <f t="shared" si="54"/>
        <v>0</v>
      </c>
      <c r="AG87" s="39">
        <f t="shared" si="54"/>
        <v>0</v>
      </c>
      <c r="AH87" s="39">
        <f t="shared" si="54"/>
        <v>0</v>
      </c>
      <c r="AI87" s="39">
        <f t="shared" si="54"/>
        <v>0</v>
      </c>
      <c r="AJ87" s="39">
        <f t="shared" si="54"/>
        <v>0</v>
      </c>
      <c r="AK87" s="39">
        <f t="shared" si="54"/>
        <v>0</v>
      </c>
      <c r="AL87" s="39">
        <f t="shared" si="54"/>
        <v>0</v>
      </c>
      <c r="AM87" s="39">
        <f t="shared" si="54"/>
        <v>0</v>
      </c>
    </row>
    <row r="88" spans="1:39" x14ac:dyDescent="0.25">
      <c r="A88" s="231" t="s">
        <v>97</v>
      </c>
      <c r="B88" s="232" t="s">
        <v>89</v>
      </c>
      <c r="C88" s="233">
        <v>4</v>
      </c>
      <c r="D88" s="234" t="s">
        <v>206</v>
      </c>
      <c r="E88" s="235">
        <v>46092</v>
      </c>
      <c r="F88" s="236">
        <v>0.70833333333333337</v>
      </c>
      <c r="G88" s="237" t="s">
        <v>21</v>
      </c>
      <c r="H88" s="237" t="s">
        <v>24</v>
      </c>
      <c r="I88" s="238" t="s">
        <v>186</v>
      </c>
      <c r="J88" s="239" t="s">
        <v>190</v>
      </c>
      <c r="K88" s="3">
        <f t="shared" si="48"/>
        <v>4</v>
      </c>
      <c r="L88" t="str">
        <f t="shared" si="45"/>
        <v/>
      </c>
      <c r="M88" s="39">
        <f t="shared" si="44"/>
        <v>165</v>
      </c>
      <c r="N88" s="42">
        <f t="shared" si="49"/>
        <v>20</v>
      </c>
      <c r="O88" s="39">
        <f t="shared" si="52"/>
        <v>0</v>
      </c>
      <c r="P88" s="39">
        <f t="shared" si="52"/>
        <v>0</v>
      </c>
      <c r="Q88" s="39">
        <f t="shared" si="55"/>
        <v>0</v>
      </c>
      <c r="R88" s="39">
        <f t="shared" si="53"/>
        <v>70</v>
      </c>
      <c r="S88" s="39">
        <f t="shared" si="53"/>
        <v>0</v>
      </c>
      <c r="T88" s="39">
        <f t="shared" si="53"/>
        <v>0</v>
      </c>
      <c r="U88" s="39">
        <f t="shared" si="53"/>
        <v>0</v>
      </c>
      <c r="V88" s="39">
        <f t="shared" si="53"/>
        <v>75</v>
      </c>
      <c r="W88" s="39">
        <f t="shared" si="53"/>
        <v>0</v>
      </c>
      <c r="X88" s="39">
        <f t="shared" si="53"/>
        <v>0</v>
      </c>
      <c r="Y88" s="39">
        <f t="shared" si="53"/>
        <v>0</v>
      </c>
      <c r="Z88" s="39">
        <f t="shared" si="53"/>
        <v>0</v>
      </c>
      <c r="AA88" s="39">
        <f t="shared" si="53"/>
        <v>0</v>
      </c>
      <c r="AB88" s="39">
        <f t="shared" si="54"/>
        <v>0</v>
      </c>
      <c r="AC88" s="39">
        <f t="shared" si="54"/>
        <v>0</v>
      </c>
      <c r="AD88" s="39">
        <f t="shared" si="54"/>
        <v>0</v>
      </c>
      <c r="AE88" s="39">
        <f t="shared" si="54"/>
        <v>0</v>
      </c>
      <c r="AF88" s="39">
        <f t="shared" si="54"/>
        <v>0</v>
      </c>
      <c r="AG88" s="39">
        <f t="shared" si="54"/>
        <v>0</v>
      </c>
      <c r="AH88" s="39">
        <f t="shared" si="54"/>
        <v>0</v>
      </c>
      <c r="AI88" s="39">
        <f t="shared" si="54"/>
        <v>0</v>
      </c>
      <c r="AJ88" s="39">
        <f t="shared" si="54"/>
        <v>0</v>
      </c>
      <c r="AK88" s="39">
        <f t="shared" si="54"/>
        <v>0</v>
      </c>
      <c r="AL88" s="39">
        <f t="shared" si="54"/>
        <v>0</v>
      </c>
      <c r="AM88" s="39">
        <f t="shared" si="54"/>
        <v>0</v>
      </c>
    </row>
    <row r="89" spans="1:39" x14ac:dyDescent="0.25">
      <c r="A89" s="318" t="s">
        <v>98</v>
      </c>
      <c r="B89" s="319" t="s">
        <v>100</v>
      </c>
      <c r="C89" s="320">
        <v>4</v>
      </c>
      <c r="D89" s="321" t="s">
        <v>206</v>
      </c>
      <c r="E89" s="322">
        <v>46092</v>
      </c>
      <c r="F89" s="323">
        <v>0.70833333333333337</v>
      </c>
      <c r="G89" s="324" t="s">
        <v>107</v>
      </c>
      <c r="H89" s="225"/>
      <c r="I89" s="325" t="s">
        <v>187</v>
      </c>
      <c r="J89" s="326" t="s">
        <v>189</v>
      </c>
      <c r="K89" s="3">
        <f t="shared" si="48"/>
        <v>4</v>
      </c>
      <c r="L89">
        <f t="shared" si="45"/>
        <v>1</v>
      </c>
      <c r="M89" s="39">
        <f t="shared" si="44"/>
        <v>80</v>
      </c>
      <c r="N89" s="42">
        <f t="shared" si="49"/>
        <v>10</v>
      </c>
      <c r="O89" s="39">
        <f t="shared" si="52"/>
        <v>0</v>
      </c>
      <c r="P89" s="39">
        <f t="shared" si="52"/>
        <v>0</v>
      </c>
      <c r="Q89" s="39">
        <f t="shared" si="55"/>
        <v>0</v>
      </c>
      <c r="R89" s="39">
        <f t="shared" si="53"/>
        <v>0</v>
      </c>
      <c r="S89" s="39">
        <f t="shared" si="53"/>
        <v>0</v>
      </c>
      <c r="T89" s="39">
        <f t="shared" si="53"/>
        <v>0</v>
      </c>
      <c r="U89" s="39">
        <f t="shared" si="53"/>
        <v>0</v>
      </c>
      <c r="V89" s="39">
        <f t="shared" si="53"/>
        <v>0</v>
      </c>
      <c r="W89" s="39">
        <f t="shared" si="53"/>
        <v>0</v>
      </c>
      <c r="X89" s="39">
        <f t="shared" si="53"/>
        <v>0</v>
      </c>
      <c r="Y89" s="39">
        <f t="shared" si="53"/>
        <v>0</v>
      </c>
      <c r="Z89" s="39">
        <f t="shared" si="53"/>
        <v>0</v>
      </c>
      <c r="AA89" s="39">
        <f t="shared" si="53"/>
        <v>0</v>
      </c>
      <c r="AB89" s="39">
        <f t="shared" si="54"/>
        <v>0</v>
      </c>
      <c r="AC89" s="39">
        <f t="shared" si="54"/>
        <v>0</v>
      </c>
      <c r="AD89" s="39">
        <f t="shared" si="54"/>
        <v>70</v>
      </c>
      <c r="AE89" s="39">
        <f t="shared" si="54"/>
        <v>0</v>
      </c>
      <c r="AF89" s="39">
        <f t="shared" si="54"/>
        <v>0</v>
      </c>
      <c r="AG89" s="39">
        <f t="shared" si="54"/>
        <v>0</v>
      </c>
      <c r="AH89" s="39">
        <f t="shared" si="54"/>
        <v>0</v>
      </c>
      <c r="AI89" s="39">
        <f t="shared" si="54"/>
        <v>0</v>
      </c>
      <c r="AJ89" s="39">
        <f t="shared" si="54"/>
        <v>0</v>
      </c>
      <c r="AK89" s="39">
        <f t="shared" si="54"/>
        <v>0</v>
      </c>
      <c r="AL89" s="39">
        <f t="shared" si="54"/>
        <v>0</v>
      </c>
      <c r="AM89" s="39">
        <f t="shared" si="54"/>
        <v>0</v>
      </c>
    </row>
    <row r="90" spans="1:39" x14ac:dyDescent="0.25">
      <c r="A90" s="309" t="s">
        <v>92</v>
      </c>
      <c r="B90" s="310" t="s">
        <v>89</v>
      </c>
      <c r="C90" s="311">
        <v>4</v>
      </c>
      <c r="D90" s="312" t="s">
        <v>206</v>
      </c>
      <c r="E90" s="313">
        <v>46093</v>
      </c>
      <c r="F90" s="314">
        <v>0.6875</v>
      </c>
      <c r="G90" s="315" t="s">
        <v>106</v>
      </c>
      <c r="H90" s="225"/>
      <c r="I90" s="316" t="s">
        <v>186</v>
      </c>
      <c r="J90" s="317" t="s">
        <v>189</v>
      </c>
      <c r="K90" s="3">
        <f t="shared" si="48"/>
        <v>5</v>
      </c>
      <c r="L90">
        <f t="shared" si="45"/>
        <v>1</v>
      </c>
      <c r="M90" s="39">
        <f t="shared" si="44"/>
        <v>80</v>
      </c>
      <c r="N90" s="42">
        <f t="shared" si="49"/>
        <v>10</v>
      </c>
      <c r="O90" s="39">
        <f t="shared" si="52"/>
        <v>0</v>
      </c>
      <c r="P90" s="39">
        <f t="shared" si="52"/>
        <v>0</v>
      </c>
      <c r="Q90" s="39">
        <f t="shared" si="55"/>
        <v>0</v>
      </c>
      <c r="R90" s="39">
        <f t="shared" si="53"/>
        <v>0</v>
      </c>
      <c r="S90" s="39">
        <f t="shared" si="53"/>
        <v>0</v>
      </c>
      <c r="T90" s="39">
        <f t="shared" si="53"/>
        <v>0</v>
      </c>
      <c r="U90" s="39">
        <f t="shared" si="53"/>
        <v>0</v>
      </c>
      <c r="V90" s="39">
        <f t="shared" si="53"/>
        <v>0</v>
      </c>
      <c r="W90" s="39">
        <f t="shared" si="53"/>
        <v>0</v>
      </c>
      <c r="X90" s="39">
        <f t="shared" si="53"/>
        <v>0</v>
      </c>
      <c r="Y90" s="39">
        <f t="shared" si="53"/>
        <v>0</v>
      </c>
      <c r="Z90" s="39">
        <f t="shared" si="53"/>
        <v>0</v>
      </c>
      <c r="AA90" s="39">
        <f t="shared" si="53"/>
        <v>0</v>
      </c>
      <c r="AB90" s="39">
        <f t="shared" si="54"/>
        <v>0</v>
      </c>
      <c r="AC90" s="39">
        <f t="shared" si="54"/>
        <v>70</v>
      </c>
      <c r="AD90" s="39">
        <f t="shared" si="54"/>
        <v>0</v>
      </c>
      <c r="AE90" s="39">
        <f t="shared" si="54"/>
        <v>0</v>
      </c>
      <c r="AF90" s="39">
        <f t="shared" si="54"/>
        <v>0</v>
      </c>
      <c r="AG90" s="39">
        <f t="shared" si="54"/>
        <v>0</v>
      </c>
      <c r="AH90" s="39">
        <f t="shared" si="54"/>
        <v>0</v>
      </c>
      <c r="AI90" s="39">
        <f t="shared" si="54"/>
        <v>0</v>
      </c>
      <c r="AJ90" s="39">
        <f t="shared" si="54"/>
        <v>0</v>
      </c>
      <c r="AK90" s="39">
        <f t="shared" si="54"/>
        <v>0</v>
      </c>
      <c r="AL90" s="39">
        <f t="shared" si="54"/>
        <v>0</v>
      </c>
      <c r="AM90" s="39">
        <f t="shared" si="54"/>
        <v>0</v>
      </c>
    </row>
    <row r="91" spans="1:39" x14ac:dyDescent="0.25">
      <c r="A91" s="248" t="s">
        <v>94</v>
      </c>
      <c r="B91" s="249" t="s">
        <v>92</v>
      </c>
      <c r="C91" s="250">
        <v>4</v>
      </c>
      <c r="D91" s="251" t="s">
        <v>206</v>
      </c>
      <c r="E91" s="252">
        <v>46093</v>
      </c>
      <c r="F91" s="253">
        <v>0.79166666666666663</v>
      </c>
      <c r="G91" s="254" t="s">
        <v>18</v>
      </c>
      <c r="H91" s="254" t="s">
        <v>22</v>
      </c>
      <c r="I91" s="255" t="s">
        <v>186</v>
      </c>
      <c r="J91" s="256" t="s">
        <v>190</v>
      </c>
      <c r="K91" s="3">
        <f t="shared" si="48"/>
        <v>5</v>
      </c>
      <c r="L91" t="str">
        <f t="shared" si="45"/>
        <v/>
      </c>
      <c r="M91" s="39">
        <f t="shared" si="44"/>
        <v>165</v>
      </c>
      <c r="N91" s="42">
        <f t="shared" si="49"/>
        <v>20</v>
      </c>
      <c r="O91" s="39">
        <f t="shared" si="52"/>
        <v>0</v>
      </c>
      <c r="P91" s="39">
        <f t="shared" si="52"/>
        <v>75</v>
      </c>
      <c r="Q91" s="39">
        <f t="shared" si="55"/>
        <v>70</v>
      </c>
      <c r="R91" s="39">
        <f t="shared" si="53"/>
        <v>0</v>
      </c>
      <c r="S91" s="39">
        <f t="shared" si="53"/>
        <v>0</v>
      </c>
      <c r="T91" s="39">
        <f t="shared" si="53"/>
        <v>0</v>
      </c>
      <c r="U91" s="39">
        <f t="shared" si="53"/>
        <v>0</v>
      </c>
      <c r="V91" s="39">
        <f t="shared" si="53"/>
        <v>0</v>
      </c>
      <c r="W91" s="39">
        <f t="shared" si="53"/>
        <v>0</v>
      </c>
      <c r="X91" s="39">
        <f t="shared" si="53"/>
        <v>0</v>
      </c>
      <c r="Y91" s="39">
        <f t="shared" si="53"/>
        <v>0</v>
      </c>
      <c r="Z91" s="39">
        <f t="shared" si="53"/>
        <v>0</v>
      </c>
      <c r="AA91" s="39">
        <f t="shared" si="53"/>
        <v>0</v>
      </c>
      <c r="AB91" s="39">
        <f t="shared" si="54"/>
        <v>0</v>
      </c>
      <c r="AC91" s="39">
        <f t="shared" si="54"/>
        <v>0</v>
      </c>
      <c r="AD91" s="39">
        <f t="shared" si="54"/>
        <v>0</v>
      </c>
      <c r="AE91" s="39">
        <f t="shared" si="54"/>
        <v>0</v>
      </c>
      <c r="AF91" s="39">
        <f t="shared" si="54"/>
        <v>0</v>
      </c>
      <c r="AG91" s="39">
        <f t="shared" si="54"/>
        <v>0</v>
      </c>
      <c r="AH91" s="39">
        <f t="shared" si="54"/>
        <v>0</v>
      </c>
      <c r="AI91" s="39">
        <f t="shared" si="54"/>
        <v>0</v>
      </c>
      <c r="AJ91" s="39">
        <f t="shared" si="54"/>
        <v>0</v>
      </c>
      <c r="AK91" s="39">
        <f t="shared" si="54"/>
        <v>0</v>
      </c>
      <c r="AL91" s="39">
        <f t="shared" si="54"/>
        <v>0</v>
      </c>
      <c r="AM91" s="39">
        <f t="shared" si="54"/>
        <v>0</v>
      </c>
    </row>
    <row r="92" spans="1:39" x14ac:dyDescent="0.25">
      <c r="A92" s="309" t="s">
        <v>90</v>
      </c>
      <c r="B92" s="310" t="s">
        <v>101</v>
      </c>
      <c r="C92" s="311">
        <v>4</v>
      </c>
      <c r="D92" s="312" t="s">
        <v>206</v>
      </c>
      <c r="E92" s="313">
        <v>46093</v>
      </c>
      <c r="F92" s="314">
        <v>0.6875</v>
      </c>
      <c r="G92" s="315" t="s">
        <v>21</v>
      </c>
      <c r="H92" s="225"/>
      <c r="I92" s="316" t="s">
        <v>187</v>
      </c>
      <c r="J92" s="317" t="s">
        <v>189</v>
      </c>
      <c r="K92" s="3">
        <f t="shared" si="48"/>
        <v>5</v>
      </c>
      <c r="L92">
        <f t="shared" si="45"/>
        <v>1</v>
      </c>
      <c r="M92" s="39">
        <f t="shared" si="44"/>
        <v>80</v>
      </c>
      <c r="N92" s="42">
        <f t="shared" si="49"/>
        <v>10</v>
      </c>
      <c r="O92" s="39">
        <f t="shared" si="52"/>
        <v>0</v>
      </c>
      <c r="P92" s="39">
        <f t="shared" si="52"/>
        <v>0</v>
      </c>
      <c r="Q92" s="39">
        <f t="shared" si="55"/>
        <v>0</v>
      </c>
      <c r="R92" s="39">
        <f t="shared" si="53"/>
        <v>0</v>
      </c>
      <c r="S92" s="39">
        <f t="shared" si="53"/>
        <v>0</v>
      </c>
      <c r="T92" s="39">
        <f t="shared" si="53"/>
        <v>0</v>
      </c>
      <c r="U92" s="39">
        <f t="shared" si="53"/>
        <v>0</v>
      </c>
      <c r="V92" s="39">
        <f t="shared" si="53"/>
        <v>70</v>
      </c>
      <c r="W92" s="39">
        <f t="shared" si="53"/>
        <v>0</v>
      </c>
      <c r="X92" s="39">
        <f t="shared" si="53"/>
        <v>0</v>
      </c>
      <c r="Y92" s="39">
        <f t="shared" si="53"/>
        <v>0</v>
      </c>
      <c r="Z92" s="39">
        <f t="shared" si="53"/>
        <v>0</v>
      </c>
      <c r="AA92" s="39">
        <f t="shared" si="53"/>
        <v>0</v>
      </c>
      <c r="AB92" s="39">
        <f t="shared" si="54"/>
        <v>0</v>
      </c>
      <c r="AC92" s="39">
        <f t="shared" si="54"/>
        <v>0</v>
      </c>
      <c r="AD92" s="39">
        <f t="shared" si="54"/>
        <v>0</v>
      </c>
      <c r="AE92" s="39">
        <f t="shared" si="54"/>
        <v>0</v>
      </c>
      <c r="AF92" s="39">
        <f t="shared" si="54"/>
        <v>0</v>
      </c>
      <c r="AG92" s="39">
        <f t="shared" si="54"/>
        <v>0</v>
      </c>
      <c r="AH92" s="39">
        <f t="shared" si="54"/>
        <v>0</v>
      </c>
      <c r="AI92" s="39">
        <f t="shared" si="54"/>
        <v>0</v>
      </c>
      <c r="AJ92" s="39">
        <f t="shared" si="54"/>
        <v>0</v>
      </c>
      <c r="AK92" s="39">
        <f t="shared" si="54"/>
        <v>0</v>
      </c>
      <c r="AL92" s="39">
        <f t="shared" si="54"/>
        <v>0</v>
      </c>
      <c r="AM92" s="39">
        <f t="shared" si="54"/>
        <v>0</v>
      </c>
    </row>
    <row r="93" spans="1:39" x14ac:dyDescent="0.25">
      <c r="A93" s="257" t="s">
        <v>96</v>
      </c>
      <c r="B93" s="258" t="s">
        <v>92</v>
      </c>
      <c r="C93" s="259">
        <v>4</v>
      </c>
      <c r="D93" s="260" t="s">
        <v>206</v>
      </c>
      <c r="E93" s="261">
        <v>46093</v>
      </c>
      <c r="F93" s="262">
        <v>0.79166666666666663</v>
      </c>
      <c r="G93" s="263" t="s">
        <v>21</v>
      </c>
      <c r="H93" s="225"/>
      <c r="I93" s="264" t="s">
        <v>187</v>
      </c>
      <c r="J93" s="265" t="s">
        <v>188</v>
      </c>
      <c r="K93" s="3">
        <f t="shared" si="48"/>
        <v>5</v>
      </c>
      <c r="L93">
        <f t="shared" si="45"/>
        <v>1</v>
      </c>
      <c r="M93" s="39">
        <f t="shared" si="44"/>
        <v>85</v>
      </c>
      <c r="N93" s="42">
        <f t="shared" si="49"/>
        <v>10</v>
      </c>
      <c r="O93" s="39">
        <f t="shared" si="52"/>
        <v>0</v>
      </c>
      <c r="P93" s="39">
        <f t="shared" si="52"/>
        <v>0</v>
      </c>
      <c r="Q93" s="39">
        <f t="shared" si="55"/>
        <v>0</v>
      </c>
      <c r="R93" s="39">
        <f t="shared" ref="R93:AA102" si="56">IF($G93=R$1,VLOOKUP($J93,$AP:$AQ,2,FALSE),IF($H93=R$1,70,0))</f>
        <v>0</v>
      </c>
      <c r="S93" s="39">
        <f t="shared" si="56"/>
        <v>0</v>
      </c>
      <c r="T93" s="39">
        <f t="shared" si="56"/>
        <v>0</v>
      </c>
      <c r="U93" s="39">
        <f t="shared" si="56"/>
        <v>0</v>
      </c>
      <c r="V93" s="39">
        <f t="shared" si="56"/>
        <v>75</v>
      </c>
      <c r="W93" s="39">
        <f t="shared" si="56"/>
        <v>0</v>
      </c>
      <c r="X93" s="39">
        <f t="shared" si="56"/>
        <v>0</v>
      </c>
      <c r="Y93" s="39">
        <f t="shared" si="56"/>
        <v>0</v>
      </c>
      <c r="Z93" s="39">
        <f t="shared" si="56"/>
        <v>0</v>
      </c>
      <c r="AA93" s="39">
        <f t="shared" si="56"/>
        <v>0</v>
      </c>
      <c r="AB93" s="39">
        <f t="shared" ref="AB93:AM102" si="57">IF($G93=AB$1,VLOOKUP($J93,$AP:$AQ,2,FALSE),IF($H93=AB$1,70,0))</f>
        <v>0</v>
      </c>
      <c r="AC93" s="39">
        <f t="shared" si="57"/>
        <v>0</v>
      </c>
      <c r="AD93" s="39">
        <f t="shared" si="57"/>
        <v>0</v>
      </c>
      <c r="AE93" s="39">
        <f t="shared" si="57"/>
        <v>0</v>
      </c>
      <c r="AF93" s="39">
        <f t="shared" si="57"/>
        <v>0</v>
      </c>
      <c r="AG93" s="39">
        <f t="shared" si="57"/>
        <v>0</v>
      </c>
      <c r="AH93" s="39">
        <f t="shared" si="57"/>
        <v>0</v>
      </c>
      <c r="AI93" s="39">
        <f t="shared" si="57"/>
        <v>0</v>
      </c>
      <c r="AJ93" s="39">
        <f t="shared" si="57"/>
        <v>0</v>
      </c>
      <c r="AK93" s="39">
        <f t="shared" si="57"/>
        <v>0</v>
      </c>
      <c r="AL93" s="39">
        <f t="shared" si="57"/>
        <v>0</v>
      </c>
      <c r="AM93" s="39">
        <f t="shared" si="57"/>
        <v>0</v>
      </c>
    </row>
    <row r="94" spans="1:39" x14ac:dyDescent="0.25">
      <c r="A94" s="318" t="s">
        <v>97</v>
      </c>
      <c r="B94" s="319" t="s">
        <v>93</v>
      </c>
      <c r="C94" s="320">
        <v>4</v>
      </c>
      <c r="D94" s="321" t="s">
        <v>206</v>
      </c>
      <c r="E94" s="322">
        <v>46094</v>
      </c>
      <c r="F94" s="323">
        <v>0.6875</v>
      </c>
      <c r="G94" s="324" t="s">
        <v>20</v>
      </c>
      <c r="H94" s="225"/>
      <c r="I94" s="325" t="s">
        <v>186</v>
      </c>
      <c r="J94" s="326" t="s">
        <v>189</v>
      </c>
      <c r="K94" s="3">
        <f t="shared" si="48"/>
        <v>6</v>
      </c>
      <c r="L94">
        <f t="shared" si="45"/>
        <v>1</v>
      </c>
      <c r="M94" s="39">
        <f t="shared" si="44"/>
        <v>80</v>
      </c>
      <c r="N94" s="42">
        <f t="shared" si="49"/>
        <v>10</v>
      </c>
      <c r="O94" s="39">
        <f t="shared" si="52"/>
        <v>0</v>
      </c>
      <c r="P94" s="39">
        <f t="shared" si="52"/>
        <v>0</v>
      </c>
      <c r="Q94" s="39">
        <f t="shared" si="55"/>
        <v>0</v>
      </c>
      <c r="R94" s="39">
        <f t="shared" si="56"/>
        <v>0</v>
      </c>
      <c r="S94" s="39">
        <f t="shared" si="56"/>
        <v>70</v>
      </c>
      <c r="T94" s="39">
        <f t="shared" si="56"/>
        <v>0</v>
      </c>
      <c r="U94" s="39">
        <f t="shared" si="56"/>
        <v>0</v>
      </c>
      <c r="V94" s="39">
        <f t="shared" si="56"/>
        <v>0</v>
      </c>
      <c r="W94" s="39">
        <f t="shared" si="56"/>
        <v>0</v>
      </c>
      <c r="X94" s="39">
        <f t="shared" si="56"/>
        <v>0</v>
      </c>
      <c r="Y94" s="39">
        <f t="shared" si="56"/>
        <v>0</v>
      </c>
      <c r="Z94" s="39">
        <f t="shared" si="56"/>
        <v>0</v>
      </c>
      <c r="AA94" s="39">
        <f t="shared" si="56"/>
        <v>0</v>
      </c>
      <c r="AB94" s="39">
        <f t="shared" si="57"/>
        <v>0</v>
      </c>
      <c r="AC94" s="39">
        <f t="shared" si="57"/>
        <v>0</v>
      </c>
      <c r="AD94" s="39">
        <f t="shared" si="57"/>
        <v>0</v>
      </c>
      <c r="AE94" s="39">
        <f t="shared" si="57"/>
        <v>0</v>
      </c>
      <c r="AF94" s="39">
        <f t="shared" si="57"/>
        <v>0</v>
      </c>
      <c r="AG94" s="39">
        <f t="shared" si="57"/>
        <v>0</v>
      </c>
      <c r="AH94" s="39">
        <f t="shared" si="57"/>
        <v>0</v>
      </c>
      <c r="AI94" s="39">
        <f t="shared" si="57"/>
        <v>0</v>
      </c>
      <c r="AJ94" s="39">
        <f t="shared" si="57"/>
        <v>0</v>
      </c>
      <c r="AK94" s="39">
        <f t="shared" si="57"/>
        <v>0</v>
      </c>
      <c r="AL94" s="39">
        <f t="shared" si="57"/>
        <v>0</v>
      </c>
      <c r="AM94" s="39">
        <f t="shared" si="57"/>
        <v>0</v>
      </c>
    </row>
    <row r="95" spans="1:39" x14ac:dyDescent="0.25">
      <c r="A95" s="318" t="s">
        <v>95</v>
      </c>
      <c r="B95" s="319" t="s">
        <v>96</v>
      </c>
      <c r="C95" s="320">
        <v>4</v>
      </c>
      <c r="D95" s="321" t="s">
        <v>206</v>
      </c>
      <c r="E95" s="322">
        <v>46094</v>
      </c>
      <c r="F95" s="323">
        <v>0.6875</v>
      </c>
      <c r="G95" s="324" t="s">
        <v>106</v>
      </c>
      <c r="H95" s="225"/>
      <c r="I95" s="325" t="s">
        <v>187</v>
      </c>
      <c r="J95" s="326" t="s">
        <v>189</v>
      </c>
      <c r="K95" s="3">
        <f t="shared" si="48"/>
        <v>6</v>
      </c>
      <c r="L95">
        <f t="shared" si="45"/>
        <v>1</v>
      </c>
      <c r="M95" s="39">
        <f t="shared" si="44"/>
        <v>80</v>
      </c>
      <c r="N95" s="42">
        <f t="shared" si="49"/>
        <v>10</v>
      </c>
      <c r="O95" s="39">
        <f t="shared" si="52"/>
        <v>0</v>
      </c>
      <c r="P95" s="39">
        <f t="shared" si="52"/>
        <v>0</v>
      </c>
      <c r="Q95" s="39">
        <f t="shared" si="55"/>
        <v>0</v>
      </c>
      <c r="R95" s="39">
        <f t="shared" si="56"/>
        <v>0</v>
      </c>
      <c r="S95" s="39">
        <f t="shared" si="56"/>
        <v>0</v>
      </c>
      <c r="T95" s="39">
        <f t="shared" si="56"/>
        <v>0</v>
      </c>
      <c r="U95" s="39">
        <f t="shared" si="56"/>
        <v>0</v>
      </c>
      <c r="V95" s="39">
        <f t="shared" si="56"/>
        <v>0</v>
      </c>
      <c r="W95" s="39">
        <f t="shared" si="56"/>
        <v>0</v>
      </c>
      <c r="X95" s="39">
        <f t="shared" si="56"/>
        <v>0</v>
      </c>
      <c r="Y95" s="39">
        <f t="shared" si="56"/>
        <v>0</v>
      </c>
      <c r="Z95" s="39">
        <f t="shared" si="56"/>
        <v>0</v>
      </c>
      <c r="AA95" s="39">
        <f t="shared" si="56"/>
        <v>0</v>
      </c>
      <c r="AB95" s="39">
        <f t="shared" si="57"/>
        <v>0</v>
      </c>
      <c r="AC95" s="39">
        <f t="shared" si="57"/>
        <v>70</v>
      </c>
      <c r="AD95" s="39">
        <f t="shared" si="57"/>
        <v>0</v>
      </c>
      <c r="AE95" s="39">
        <f t="shared" si="57"/>
        <v>0</v>
      </c>
      <c r="AF95" s="39">
        <f t="shared" si="57"/>
        <v>0</v>
      </c>
      <c r="AG95" s="39">
        <f t="shared" si="57"/>
        <v>0</v>
      </c>
      <c r="AH95" s="39">
        <f t="shared" si="57"/>
        <v>0</v>
      </c>
      <c r="AI95" s="39">
        <f t="shared" si="57"/>
        <v>0</v>
      </c>
      <c r="AJ95" s="39">
        <f t="shared" si="57"/>
        <v>0</v>
      </c>
      <c r="AK95" s="39">
        <f t="shared" si="57"/>
        <v>0</v>
      </c>
      <c r="AL95" s="39">
        <f t="shared" si="57"/>
        <v>0</v>
      </c>
      <c r="AM95" s="39">
        <f t="shared" si="57"/>
        <v>0</v>
      </c>
    </row>
    <row r="96" spans="1:39" x14ac:dyDescent="0.25">
      <c r="A96" s="421" t="s">
        <v>194</v>
      </c>
      <c r="B96" s="422" t="s">
        <v>195</v>
      </c>
      <c r="C96" s="423">
        <v>4</v>
      </c>
      <c r="D96" s="424" t="s">
        <v>206</v>
      </c>
      <c r="E96" s="425">
        <v>46095</v>
      </c>
      <c r="F96" s="426">
        <v>0.35416666666666669</v>
      </c>
      <c r="G96" s="427" t="s">
        <v>19</v>
      </c>
      <c r="H96" s="328"/>
      <c r="I96" s="428" t="s">
        <v>196</v>
      </c>
      <c r="J96" s="429" t="s">
        <v>196</v>
      </c>
      <c r="K96" s="3"/>
      <c r="L96">
        <f>IF(G96=L$1,1,IF(H96=L$1,1,""))</f>
        <v>1</v>
      </c>
      <c r="M96" s="39">
        <f t="shared" si="44"/>
        <v>95</v>
      </c>
      <c r="N96" s="42">
        <f t="shared" ref="N96" si="58">IF(H96&lt;&gt;"",20,10)</f>
        <v>10</v>
      </c>
      <c r="O96" s="39">
        <f t="shared" si="52"/>
        <v>85</v>
      </c>
      <c r="P96" s="39">
        <f t="shared" si="52"/>
        <v>0</v>
      </c>
      <c r="Q96" s="39"/>
      <c r="R96" s="39">
        <f t="shared" si="56"/>
        <v>0</v>
      </c>
      <c r="S96" s="39">
        <f t="shared" si="56"/>
        <v>0</v>
      </c>
      <c r="T96" s="39">
        <f t="shared" si="56"/>
        <v>0</v>
      </c>
      <c r="U96" s="39">
        <f t="shared" si="56"/>
        <v>0</v>
      </c>
      <c r="V96" s="39">
        <f t="shared" si="56"/>
        <v>0</v>
      </c>
      <c r="W96" s="39">
        <f t="shared" si="56"/>
        <v>0</v>
      </c>
      <c r="X96" s="39">
        <f t="shared" si="56"/>
        <v>0</v>
      </c>
      <c r="Y96" s="39">
        <f t="shared" si="56"/>
        <v>0</v>
      </c>
      <c r="Z96" s="39">
        <f t="shared" si="56"/>
        <v>0</v>
      </c>
      <c r="AA96" s="39">
        <f t="shared" si="56"/>
        <v>0</v>
      </c>
      <c r="AB96" s="39">
        <f t="shared" si="57"/>
        <v>0</v>
      </c>
      <c r="AC96" s="39">
        <f t="shared" si="57"/>
        <v>0</v>
      </c>
      <c r="AD96" s="39">
        <f t="shared" si="57"/>
        <v>0</v>
      </c>
      <c r="AE96" s="39">
        <f t="shared" si="57"/>
        <v>0</v>
      </c>
      <c r="AF96" s="39">
        <f t="shared" si="57"/>
        <v>0</v>
      </c>
      <c r="AG96" s="39">
        <f t="shared" si="57"/>
        <v>0</v>
      </c>
      <c r="AH96" s="39">
        <f t="shared" si="57"/>
        <v>0</v>
      </c>
      <c r="AI96" s="39">
        <f t="shared" si="57"/>
        <v>0</v>
      </c>
      <c r="AJ96" s="39">
        <f t="shared" si="57"/>
        <v>0</v>
      </c>
      <c r="AK96" s="39">
        <f t="shared" si="57"/>
        <v>0</v>
      </c>
      <c r="AL96" s="39">
        <f t="shared" si="57"/>
        <v>0</v>
      </c>
      <c r="AM96" s="39">
        <f t="shared" si="57"/>
        <v>0</v>
      </c>
    </row>
    <row r="97" spans="1:41" x14ac:dyDescent="0.25">
      <c r="A97" s="421" t="s">
        <v>194</v>
      </c>
      <c r="B97" s="422" t="s">
        <v>195</v>
      </c>
      <c r="C97" s="423">
        <v>4</v>
      </c>
      <c r="D97" s="424" t="s">
        <v>206</v>
      </c>
      <c r="E97" s="425">
        <v>46095</v>
      </c>
      <c r="F97" s="426">
        <v>0.47916666666666669</v>
      </c>
      <c r="G97" s="427" t="s">
        <v>19</v>
      </c>
      <c r="H97" s="328"/>
      <c r="I97" s="428" t="s">
        <v>196</v>
      </c>
      <c r="J97" s="429" t="s">
        <v>196</v>
      </c>
      <c r="K97" s="3"/>
      <c r="L97">
        <f>IF(G97=L$1,1,IF(H97=L$1,1,""))</f>
        <v>1</v>
      </c>
      <c r="M97" s="39">
        <f t="shared" si="44"/>
        <v>95</v>
      </c>
      <c r="N97" s="42">
        <f t="shared" ref="N97" si="59">IF(H97&lt;&gt;"",20,10)</f>
        <v>10</v>
      </c>
      <c r="O97" s="39">
        <f t="shared" si="52"/>
        <v>85</v>
      </c>
      <c r="P97" s="39">
        <f t="shared" si="52"/>
        <v>0</v>
      </c>
      <c r="Q97" s="39"/>
      <c r="R97" s="39">
        <f t="shared" si="56"/>
        <v>0</v>
      </c>
      <c r="S97" s="39">
        <f t="shared" si="56"/>
        <v>0</v>
      </c>
      <c r="T97" s="39">
        <f t="shared" si="56"/>
        <v>0</v>
      </c>
      <c r="U97" s="39">
        <f t="shared" si="56"/>
        <v>0</v>
      </c>
      <c r="V97" s="39">
        <f t="shared" si="56"/>
        <v>0</v>
      </c>
      <c r="W97" s="39">
        <f t="shared" si="56"/>
        <v>0</v>
      </c>
      <c r="X97" s="39">
        <f t="shared" si="56"/>
        <v>0</v>
      </c>
      <c r="Y97" s="39">
        <f t="shared" si="56"/>
        <v>0</v>
      </c>
      <c r="Z97" s="39">
        <f t="shared" si="56"/>
        <v>0</v>
      </c>
      <c r="AA97" s="39">
        <f t="shared" si="56"/>
        <v>0</v>
      </c>
      <c r="AB97" s="39">
        <f t="shared" si="57"/>
        <v>0</v>
      </c>
      <c r="AC97" s="39">
        <f t="shared" si="57"/>
        <v>0</v>
      </c>
      <c r="AD97" s="39">
        <f t="shared" si="57"/>
        <v>0</v>
      </c>
      <c r="AE97" s="39">
        <f t="shared" si="57"/>
        <v>0</v>
      </c>
      <c r="AF97" s="39">
        <f t="shared" si="57"/>
        <v>0</v>
      </c>
      <c r="AG97" s="39">
        <f t="shared" si="57"/>
        <v>0</v>
      </c>
      <c r="AH97" s="39">
        <f t="shared" si="57"/>
        <v>0</v>
      </c>
      <c r="AI97" s="39">
        <f t="shared" si="57"/>
        <v>0</v>
      </c>
      <c r="AJ97" s="39">
        <f t="shared" si="57"/>
        <v>0</v>
      </c>
      <c r="AK97" s="39">
        <f t="shared" si="57"/>
        <v>0</v>
      </c>
      <c r="AL97" s="39">
        <f t="shared" si="57"/>
        <v>0</v>
      </c>
      <c r="AM97" s="39">
        <f t="shared" si="57"/>
        <v>0</v>
      </c>
    </row>
    <row r="98" spans="1:41" x14ac:dyDescent="0.25">
      <c r="A98" s="257" t="s">
        <v>97</v>
      </c>
      <c r="B98" s="258" t="s">
        <v>94</v>
      </c>
      <c r="C98" s="259">
        <v>4</v>
      </c>
      <c r="D98" s="260" t="s">
        <v>206</v>
      </c>
      <c r="E98" s="261">
        <v>46095</v>
      </c>
      <c r="F98" s="262">
        <v>0.375</v>
      </c>
      <c r="G98" s="327" t="s">
        <v>104</v>
      </c>
      <c r="H98" s="328"/>
      <c r="I98" s="329" t="s">
        <v>186</v>
      </c>
      <c r="J98" s="265" t="s">
        <v>188</v>
      </c>
      <c r="K98" s="3">
        <f t="shared" ref="K98:K101" si="60">WEEKDAY(E98)</f>
        <v>7</v>
      </c>
      <c r="L98">
        <f t="shared" ref="L98:L101" si="61">IF(G98=L$1,1,IF(H98=L$1,1,""))</f>
        <v>1</v>
      </c>
      <c r="M98" s="39">
        <f t="shared" si="44"/>
        <v>85</v>
      </c>
      <c r="N98" s="42">
        <f t="shared" si="49"/>
        <v>10</v>
      </c>
      <c r="O98" s="39">
        <f t="shared" si="52"/>
        <v>0</v>
      </c>
      <c r="P98" s="39">
        <f t="shared" si="52"/>
        <v>0</v>
      </c>
      <c r="Q98" s="39">
        <f t="shared" ref="Q98:Q111" si="62">IF($G98=Q$1,VLOOKUP($J98,$AP:$AQ,2,FALSE),IF($H98=Q$1,70,0))</f>
        <v>0</v>
      </c>
      <c r="R98" s="39">
        <f t="shared" si="56"/>
        <v>0</v>
      </c>
      <c r="S98" s="39">
        <f t="shared" si="56"/>
        <v>0</v>
      </c>
      <c r="T98" s="39">
        <f t="shared" si="56"/>
        <v>0</v>
      </c>
      <c r="U98" s="39">
        <f t="shared" si="56"/>
        <v>75</v>
      </c>
      <c r="V98" s="39">
        <f t="shared" si="56"/>
        <v>0</v>
      </c>
      <c r="W98" s="39">
        <f t="shared" si="56"/>
        <v>0</v>
      </c>
      <c r="X98" s="39">
        <f t="shared" si="56"/>
        <v>0</v>
      </c>
      <c r="Y98" s="39">
        <f t="shared" si="56"/>
        <v>0</v>
      </c>
      <c r="Z98" s="39">
        <f t="shared" si="56"/>
        <v>0</v>
      </c>
      <c r="AA98" s="39">
        <f t="shared" si="56"/>
        <v>0</v>
      </c>
      <c r="AB98" s="39">
        <f t="shared" si="57"/>
        <v>0</v>
      </c>
      <c r="AC98" s="39">
        <f t="shared" si="57"/>
        <v>0</v>
      </c>
      <c r="AD98" s="39">
        <f t="shared" si="57"/>
        <v>0</v>
      </c>
      <c r="AE98" s="39">
        <f t="shared" si="57"/>
        <v>0</v>
      </c>
      <c r="AF98" s="39">
        <f t="shared" si="57"/>
        <v>0</v>
      </c>
      <c r="AG98" s="39">
        <f t="shared" si="57"/>
        <v>0</v>
      </c>
      <c r="AH98" s="39">
        <f t="shared" si="57"/>
        <v>0</v>
      </c>
      <c r="AI98" s="39">
        <f t="shared" si="57"/>
        <v>0</v>
      </c>
      <c r="AJ98" s="39">
        <f t="shared" si="57"/>
        <v>0</v>
      </c>
      <c r="AK98" s="39">
        <f t="shared" si="57"/>
        <v>0</v>
      </c>
      <c r="AL98" s="39">
        <f t="shared" si="57"/>
        <v>0</v>
      </c>
      <c r="AM98" s="39">
        <f t="shared" si="57"/>
        <v>0</v>
      </c>
    </row>
    <row r="99" spans="1:41" x14ac:dyDescent="0.25">
      <c r="A99" s="330" t="s">
        <v>97</v>
      </c>
      <c r="B99" s="331" t="s">
        <v>94</v>
      </c>
      <c r="C99" s="332">
        <v>4</v>
      </c>
      <c r="D99" s="333" t="s">
        <v>206</v>
      </c>
      <c r="E99" s="252">
        <v>46095</v>
      </c>
      <c r="F99" s="253">
        <v>0.47916666666666669</v>
      </c>
      <c r="G99" s="284" t="s">
        <v>18</v>
      </c>
      <c r="H99" s="284" t="s">
        <v>104</v>
      </c>
      <c r="I99" s="334" t="s">
        <v>186</v>
      </c>
      <c r="J99" s="335" t="s">
        <v>190</v>
      </c>
      <c r="K99" s="3">
        <f t="shared" si="60"/>
        <v>7</v>
      </c>
      <c r="L99" t="str">
        <f t="shared" si="61"/>
        <v/>
      </c>
      <c r="M99" s="39">
        <f t="shared" si="44"/>
        <v>165</v>
      </c>
      <c r="N99" s="42">
        <f t="shared" si="49"/>
        <v>20</v>
      </c>
      <c r="O99" s="39">
        <f t="shared" si="52"/>
        <v>0</v>
      </c>
      <c r="P99" s="39">
        <f t="shared" si="52"/>
        <v>75</v>
      </c>
      <c r="Q99" s="39">
        <f t="shared" si="62"/>
        <v>0</v>
      </c>
      <c r="R99" s="39">
        <f t="shared" si="56"/>
        <v>0</v>
      </c>
      <c r="S99" s="39">
        <f t="shared" si="56"/>
        <v>0</v>
      </c>
      <c r="T99" s="39">
        <f t="shared" si="56"/>
        <v>0</v>
      </c>
      <c r="U99" s="39">
        <f t="shared" si="56"/>
        <v>70</v>
      </c>
      <c r="V99" s="39">
        <f t="shared" si="56"/>
        <v>0</v>
      </c>
      <c r="W99" s="39">
        <f t="shared" si="56"/>
        <v>0</v>
      </c>
      <c r="X99" s="39">
        <f t="shared" si="56"/>
        <v>0</v>
      </c>
      <c r="Y99" s="39">
        <f t="shared" si="56"/>
        <v>0</v>
      </c>
      <c r="Z99" s="39">
        <f t="shared" si="56"/>
        <v>0</v>
      </c>
      <c r="AA99" s="39">
        <f t="shared" si="56"/>
        <v>0</v>
      </c>
      <c r="AB99" s="39">
        <f t="shared" si="57"/>
        <v>0</v>
      </c>
      <c r="AC99" s="39">
        <f t="shared" si="57"/>
        <v>0</v>
      </c>
      <c r="AD99" s="39">
        <f t="shared" si="57"/>
        <v>0</v>
      </c>
      <c r="AE99" s="39">
        <f t="shared" si="57"/>
        <v>0</v>
      </c>
      <c r="AF99" s="39">
        <f t="shared" si="57"/>
        <v>0</v>
      </c>
      <c r="AG99" s="39">
        <f t="shared" si="57"/>
        <v>0</v>
      </c>
      <c r="AH99" s="39">
        <f t="shared" si="57"/>
        <v>0</v>
      </c>
      <c r="AI99" s="39">
        <f t="shared" si="57"/>
        <v>0</v>
      </c>
      <c r="AJ99" s="39">
        <f t="shared" si="57"/>
        <v>0</v>
      </c>
      <c r="AK99" s="39">
        <f t="shared" si="57"/>
        <v>0</v>
      </c>
      <c r="AL99" s="39">
        <f t="shared" si="57"/>
        <v>0</v>
      </c>
      <c r="AM99" s="39">
        <f t="shared" si="57"/>
        <v>0</v>
      </c>
    </row>
    <row r="100" spans="1:41" x14ac:dyDescent="0.25">
      <c r="A100" s="330" t="s">
        <v>93</v>
      </c>
      <c r="B100" s="331" t="s">
        <v>89</v>
      </c>
      <c r="C100" s="332">
        <v>4</v>
      </c>
      <c r="D100" s="333" t="s">
        <v>206</v>
      </c>
      <c r="E100" s="252">
        <v>46095</v>
      </c>
      <c r="F100" s="253">
        <v>0.58333333333333337</v>
      </c>
      <c r="G100" s="336" t="s">
        <v>20</v>
      </c>
      <c r="H100" s="284" t="s">
        <v>18</v>
      </c>
      <c r="I100" s="337" t="s">
        <v>186</v>
      </c>
      <c r="J100" s="338" t="s">
        <v>190</v>
      </c>
      <c r="K100" s="3">
        <f t="shared" si="60"/>
        <v>7</v>
      </c>
      <c r="L100" t="str">
        <f t="shared" si="61"/>
        <v/>
      </c>
      <c r="M100" s="39">
        <f t="shared" si="44"/>
        <v>165</v>
      </c>
      <c r="N100" s="42">
        <f t="shared" si="49"/>
        <v>20</v>
      </c>
      <c r="O100" s="39">
        <f t="shared" si="52"/>
        <v>0</v>
      </c>
      <c r="P100" s="39">
        <f t="shared" si="52"/>
        <v>70</v>
      </c>
      <c r="Q100" s="39">
        <f t="shared" si="62"/>
        <v>0</v>
      </c>
      <c r="R100" s="39">
        <f t="shared" si="56"/>
        <v>0</v>
      </c>
      <c r="S100" s="39">
        <f t="shared" si="56"/>
        <v>75</v>
      </c>
      <c r="T100" s="39">
        <f t="shared" si="56"/>
        <v>0</v>
      </c>
      <c r="U100" s="39">
        <f t="shared" si="56"/>
        <v>0</v>
      </c>
      <c r="V100" s="39">
        <f t="shared" si="56"/>
        <v>0</v>
      </c>
      <c r="W100" s="39">
        <f t="shared" si="56"/>
        <v>0</v>
      </c>
      <c r="X100" s="39">
        <f t="shared" si="56"/>
        <v>0</v>
      </c>
      <c r="Y100" s="39">
        <f t="shared" si="56"/>
        <v>0</v>
      </c>
      <c r="Z100" s="39">
        <f t="shared" si="56"/>
        <v>0</v>
      </c>
      <c r="AA100" s="39">
        <f t="shared" si="56"/>
        <v>0</v>
      </c>
      <c r="AB100" s="39">
        <f t="shared" si="57"/>
        <v>0</v>
      </c>
      <c r="AC100" s="39">
        <f t="shared" si="57"/>
        <v>0</v>
      </c>
      <c r="AD100" s="39">
        <f t="shared" si="57"/>
        <v>0</v>
      </c>
      <c r="AE100" s="39">
        <f t="shared" si="57"/>
        <v>0</v>
      </c>
      <c r="AF100" s="39">
        <f t="shared" si="57"/>
        <v>0</v>
      </c>
      <c r="AG100" s="39">
        <f t="shared" si="57"/>
        <v>0</v>
      </c>
      <c r="AH100" s="39">
        <f t="shared" si="57"/>
        <v>0</v>
      </c>
      <c r="AI100" s="39">
        <f t="shared" si="57"/>
        <v>0</v>
      </c>
      <c r="AJ100" s="39">
        <f t="shared" si="57"/>
        <v>0</v>
      </c>
      <c r="AK100" s="39">
        <f t="shared" si="57"/>
        <v>0</v>
      </c>
      <c r="AL100" s="39">
        <f t="shared" si="57"/>
        <v>0</v>
      </c>
      <c r="AM100" s="39">
        <f t="shared" si="57"/>
        <v>0</v>
      </c>
    </row>
    <row r="101" spans="1:41" x14ac:dyDescent="0.25">
      <c r="A101" s="330" t="s">
        <v>96</v>
      </c>
      <c r="B101" s="331" t="s">
        <v>92</v>
      </c>
      <c r="C101" s="332">
        <v>4</v>
      </c>
      <c r="D101" s="333" t="s">
        <v>206</v>
      </c>
      <c r="E101" s="252">
        <v>46095</v>
      </c>
      <c r="F101" s="253">
        <v>0.6875</v>
      </c>
      <c r="G101" s="336" t="s">
        <v>73</v>
      </c>
      <c r="H101" s="284" t="s">
        <v>22</v>
      </c>
      <c r="I101" s="339" t="s">
        <v>186</v>
      </c>
      <c r="J101" s="335" t="s">
        <v>190</v>
      </c>
      <c r="K101" s="3">
        <f t="shared" si="60"/>
        <v>7</v>
      </c>
      <c r="L101" t="str">
        <f t="shared" si="61"/>
        <v/>
      </c>
      <c r="M101" s="39">
        <f t="shared" si="44"/>
        <v>165</v>
      </c>
      <c r="N101" s="42">
        <f t="shared" si="49"/>
        <v>20</v>
      </c>
      <c r="O101" s="39">
        <f t="shared" si="52"/>
        <v>0</v>
      </c>
      <c r="P101" s="39">
        <f t="shared" si="52"/>
        <v>0</v>
      </c>
      <c r="Q101" s="39">
        <f t="shared" si="62"/>
        <v>70</v>
      </c>
      <c r="R101" s="39">
        <f t="shared" si="56"/>
        <v>0</v>
      </c>
      <c r="S101" s="39">
        <f t="shared" si="56"/>
        <v>0</v>
      </c>
      <c r="T101" s="39">
        <f t="shared" si="56"/>
        <v>75</v>
      </c>
      <c r="U101" s="39">
        <f t="shared" si="56"/>
        <v>0</v>
      </c>
      <c r="V101" s="39">
        <f t="shared" si="56"/>
        <v>0</v>
      </c>
      <c r="W101" s="39">
        <f t="shared" si="56"/>
        <v>0</v>
      </c>
      <c r="X101" s="39">
        <f t="shared" si="56"/>
        <v>0</v>
      </c>
      <c r="Y101" s="39">
        <f t="shared" si="56"/>
        <v>0</v>
      </c>
      <c r="Z101" s="39">
        <f t="shared" si="56"/>
        <v>0</v>
      </c>
      <c r="AA101" s="39">
        <f t="shared" si="56"/>
        <v>0</v>
      </c>
      <c r="AB101" s="39">
        <f t="shared" si="57"/>
        <v>0</v>
      </c>
      <c r="AC101" s="39">
        <f t="shared" si="57"/>
        <v>0</v>
      </c>
      <c r="AD101" s="39">
        <f t="shared" si="57"/>
        <v>0</v>
      </c>
      <c r="AE101" s="39">
        <f t="shared" si="57"/>
        <v>0</v>
      </c>
      <c r="AF101" s="39">
        <f t="shared" si="57"/>
        <v>0</v>
      </c>
      <c r="AG101" s="39">
        <f t="shared" si="57"/>
        <v>0</v>
      </c>
      <c r="AH101" s="39">
        <f t="shared" si="57"/>
        <v>0</v>
      </c>
      <c r="AI101" s="39">
        <f t="shared" si="57"/>
        <v>0</v>
      </c>
      <c r="AJ101" s="39">
        <f t="shared" si="57"/>
        <v>0</v>
      </c>
      <c r="AK101" s="39">
        <f t="shared" si="57"/>
        <v>0</v>
      </c>
      <c r="AL101" s="39">
        <f t="shared" si="57"/>
        <v>0</v>
      </c>
      <c r="AM101" s="39">
        <f t="shared" si="57"/>
        <v>0</v>
      </c>
    </row>
    <row r="102" spans="1:41" x14ac:dyDescent="0.25">
      <c r="A102" s="257" t="s">
        <v>98</v>
      </c>
      <c r="B102" s="258" t="s">
        <v>89</v>
      </c>
      <c r="C102" s="259">
        <v>4</v>
      </c>
      <c r="D102" s="260" t="s">
        <v>206</v>
      </c>
      <c r="E102" s="261">
        <v>46095</v>
      </c>
      <c r="F102" s="262">
        <v>0.375</v>
      </c>
      <c r="G102" s="263" t="s">
        <v>106</v>
      </c>
      <c r="H102" s="328"/>
      <c r="I102" s="264" t="s">
        <v>187</v>
      </c>
      <c r="J102" s="265" t="s">
        <v>188</v>
      </c>
      <c r="K102" s="3">
        <f>WEEKDAY(E102)</f>
        <v>7</v>
      </c>
      <c r="L102">
        <f>IF(G102=L$1,1,IF(H102=L$1,1,""))</f>
        <v>1</v>
      </c>
      <c r="M102" s="39">
        <f t="shared" si="44"/>
        <v>85</v>
      </c>
      <c r="N102" s="42">
        <f>IF(H102&lt;&gt;"",20,10)</f>
        <v>10</v>
      </c>
      <c r="O102" s="39">
        <f t="shared" si="52"/>
        <v>0</v>
      </c>
      <c r="P102" s="39">
        <f t="shared" si="52"/>
        <v>0</v>
      </c>
      <c r="Q102" s="39">
        <f t="shared" si="62"/>
        <v>0</v>
      </c>
      <c r="R102" s="39">
        <f t="shared" si="56"/>
        <v>0</v>
      </c>
      <c r="S102" s="39">
        <f t="shared" si="56"/>
        <v>0</v>
      </c>
      <c r="T102" s="39">
        <f t="shared" si="56"/>
        <v>0</v>
      </c>
      <c r="U102" s="39">
        <f t="shared" si="56"/>
        <v>0</v>
      </c>
      <c r="V102" s="39">
        <f t="shared" si="56"/>
        <v>0</v>
      </c>
      <c r="W102" s="39">
        <f t="shared" si="56"/>
        <v>0</v>
      </c>
      <c r="X102" s="39">
        <f t="shared" si="56"/>
        <v>0</v>
      </c>
      <c r="Y102" s="39">
        <f t="shared" si="56"/>
        <v>0</v>
      </c>
      <c r="Z102" s="39">
        <f t="shared" si="56"/>
        <v>0</v>
      </c>
      <c r="AA102" s="39">
        <f t="shared" si="56"/>
        <v>0</v>
      </c>
      <c r="AB102" s="39">
        <f t="shared" si="57"/>
        <v>0</v>
      </c>
      <c r="AC102" s="39">
        <f t="shared" si="57"/>
        <v>75</v>
      </c>
      <c r="AD102" s="39">
        <f t="shared" si="57"/>
        <v>0</v>
      </c>
      <c r="AE102" s="39">
        <f t="shared" si="57"/>
        <v>0</v>
      </c>
      <c r="AF102" s="39">
        <f t="shared" si="57"/>
        <v>0</v>
      </c>
      <c r="AG102" s="39">
        <f t="shared" si="57"/>
        <v>0</v>
      </c>
      <c r="AH102" s="39">
        <f t="shared" si="57"/>
        <v>0</v>
      </c>
      <c r="AI102" s="39">
        <f t="shared" si="57"/>
        <v>0</v>
      </c>
      <c r="AJ102" s="39">
        <f t="shared" si="57"/>
        <v>0</v>
      </c>
      <c r="AK102" s="39">
        <f t="shared" si="57"/>
        <v>0</v>
      </c>
      <c r="AL102" s="39">
        <f t="shared" si="57"/>
        <v>0</v>
      </c>
      <c r="AM102" s="39">
        <f t="shared" si="57"/>
        <v>0</v>
      </c>
    </row>
    <row r="103" spans="1:41" x14ac:dyDescent="0.25">
      <c r="A103" s="257" t="s">
        <v>92</v>
      </c>
      <c r="B103" s="258" t="s">
        <v>90</v>
      </c>
      <c r="C103" s="259">
        <v>4</v>
      </c>
      <c r="D103" s="260" t="s">
        <v>206</v>
      </c>
      <c r="E103" s="261">
        <v>46095</v>
      </c>
      <c r="F103" s="262">
        <v>0.47916666666666669</v>
      </c>
      <c r="G103" s="263" t="s">
        <v>20</v>
      </c>
      <c r="H103" s="328"/>
      <c r="I103" s="264" t="s">
        <v>187</v>
      </c>
      <c r="J103" s="265" t="s">
        <v>188</v>
      </c>
      <c r="K103" s="3">
        <f>WEEKDAY(E103)</f>
        <v>7</v>
      </c>
      <c r="L103">
        <f>IF(G103=L$1,1,IF(H103=L$1,1,""))</f>
        <v>1</v>
      </c>
      <c r="M103" s="39">
        <f t="shared" si="44"/>
        <v>85</v>
      </c>
      <c r="N103" s="42">
        <f>IF(H103&lt;&gt;"",20,10)</f>
        <v>10</v>
      </c>
      <c r="O103" s="39">
        <f t="shared" si="52"/>
        <v>0</v>
      </c>
      <c r="P103" s="39">
        <f t="shared" si="52"/>
        <v>0</v>
      </c>
      <c r="Q103" s="39">
        <f t="shared" si="62"/>
        <v>0</v>
      </c>
      <c r="R103" s="39">
        <f t="shared" ref="R103:AA111" si="63">IF($G103=R$1,VLOOKUP($J103,$AP:$AQ,2,FALSE),IF($H103=R$1,70,0))</f>
        <v>0</v>
      </c>
      <c r="S103" s="39">
        <f t="shared" si="63"/>
        <v>75</v>
      </c>
      <c r="T103" s="39">
        <f t="shared" si="63"/>
        <v>0</v>
      </c>
      <c r="U103" s="39">
        <f t="shared" si="63"/>
        <v>0</v>
      </c>
      <c r="V103" s="39">
        <f t="shared" si="63"/>
        <v>0</v>
      </c>
      <c r="W103" s="39">
        <f t="shared" si="63"/>
        <v>0</v>
      </c>
      <c r="X103" s="39">
        <f t="shared" si="63"/>
        <v>0</v>
      </c>
      <c r="Y103" s="39">
        <f t="shared" si="63"/>
        <v>0</v>
      </c>
      <c r="Z103" s="39">
        <f t="shared" si="63"/>
        <v>0</v>
      </c>
      <c r="AA103" s="39">
        <f t="shared" si="63"/>
        <v>0</v>
      </c>
      <c r="AB103" s="39">
        <f t="shared" ref="AB103:AM111" si="64">IF($G103=AB$1,VLOOKUP($J103,$AP:$AQ,2,FALSE),IF($H103=AB$1,70,0))</f>
        <v>0</v>
      </c>
      <c r="AC103" s="39">
        <f t="shared" si="64"/>
        <v>0</v>
      </c>
      <c r="AD103" s="39">
        <f t="shared" si="64"/>
        <v>0</v>
      </c>
      <c r="AE103" s="39">
        <f t="shared" si="64"/>
        <v>0</v>
      </c>
      <c r="AF103" s="39">
        <f t="shared" si="64"/>
        <v>0</v>
      </c>
      <c r="AG103" s="39">
        <f t="shared" si="64"/>
        <v>0</v>
      </c>
      <c r="AH103" s="39">
        <f t="shared" si="64"/>
        <v>0</v>
      </c>
      <c r="AI103" s="39">
        <f t="shared" si="64"/>
        <v>0</v>
      </c>
      <c r="AJ103" s="39">
        <f t="shared" si="64"/>
        <v>0</v>
      </c>
      <c r="AK103" s="39">
        <f t="shared" si="64"/>
        <v>0</v>
      </c>
      <c r="AL103" s="39">
        <f t="shared" si="64"/>
        <v>0</v>
      </c>
      <c r="AM103" s="39">
        <f t="shared" si="64"/>
        <v>0</v>
      </c>
    </row>
    <row r="104" spans="1:41" x14ac:dyDescent="0.25">
      <c r="A104" s="340" t="s">
        <v>99</v>
      </c>
      <c r="B104" s="341" t="s">
        <v>96</v>
      </c>
      <c r="C104" s="342">
        <v>4</v>
      </c>
      <c r="D104" s="343" t="s">
        <v>206</v>
      </c>
      <c r="E104" s="344">
        <v>46095</v>
      </c>
      <c r="F104" s="345">
        <v>0.58333333333333337</v>
      </c>
      <c r="G104" s="263" t="s">
        <v>106</v>
      </c>
      <c r="H104" s="347"/>
      <c r="I104" s="264" t="s">
        <v>187</v>
      </c>
      <c r="J104" s="265" t="s">
        <v>188</v>
      </c>
      <c r="K104" s="3">
        <f>WEEKDAY(E104)</f>
        <v>7</v>
      </c>
      <c r="L104">
        <f>IF(G104=L$1,1,IF(H104=L$1,1,""))</f>
        <v>1</v>
      </c>
      <c r="M104" s="39">
        <f t="shared" si="44"/>
        <v>85</v>
      </c>
      <c r="N104" s="42">
        <f>IF(H104&lt;&gt;"",20,10)</f>
        <v>10</v>
      </c>
      <c r="O104" s="39">
        <f t="shared" si="52"/>
        <v>0</v>
      </c>
      <c r="P104" s="39">
        <f t="shared" si="52"/>
        <v>0</v>
      </c>
      <c r="Q104" s="39">
        <f t="shared" si="62"/>
        <v>0</v>
      </c>
      <c r="R104" s="39">
        <f t="shared" si="63"/>
        <v>0</v>
      </c>
      <c r="S104" s="39">
        <f t="shared" si="63"/>
        <v>0</v>
      </c>
      <c r="T104" s="39">
        <f t="shared" si="63"/>
        <v>0</v>
      </c>
      <c r="U104" s="39">
        <f t="shared" si="63"/>
        <v>0</v>
      </c>
      <c r="V104" s="39">
        <f t="shared" si="63"/>
        <v>0</v>
      </c>
      <c r="W104" s="39">
        <f t="shared" si="63"/>
        <v>0</v>
      </c>
      <c r="X104" s="39">
        <f t="shared" si="63"/>
        <v>0</v>
      </c>
      <c r="Y104" s="39">
        <f t="shared" si="63"/>
        <v>0</v>
      </c>
      <c r="Z104" s="39">
        <f t="shared" si="63"/>
        <v>0</v>
      </c>
      <c r="AA104" s="39">
        <f t="shared" si="63"/>
        <v>0</v>
      </c>
      <c r="AB104" s="39">
        <f t="shared" si="64"/>
        <v>0</v>
      </c>
      <c r="AC104" s="39">
        <f t="shared" si="64"/>
        <v>75</v>
      </c>
      <c r="AD104" s="39">
        <f t="shared" si="64"/>
        <v>0</v>
      </c>
      <c r="AE104" s="39">
        <f t="shared" si="64"/>
        <v>0</v>
      </c>
      <c r="AF104" s="39">
        <f t="shared" si="64"/>
        <v>0</v>
      </c>
      <c r="AG104" s="39">
        <f t="shared" si="64"/>
        <v>0</v>
      </c>
      <c r="AH104" s="39">
        <f t="shared" si="64"/>
        <v>0</v>
      </c>
      <c r="AI104" s="39">
        <f t="shared" si="64"/>
        <v>0</v>
      </c>
      <c r="AJ104" s="39">
        <f t="shared" si="64"/>
        <v>0</v>
      </c>
      <c r="AK104" s="39">
        <f t="shared" si="64"/>
        <v>0</v>
      </c>
      <c r="AL104" s="39">
        <f t="shared" si="64"/>
        <v>0</v>
      </c>
      <c r="AM104" s="39">
        <f t="shared" si="64"/>
        <v>0</v>
      </c>
    </row>
    <row r="105" spans="1:41" x14ac:dyDescent="0.25">
      <c r="A105" s="257" t="s">
        <v>93</v>
      </c>
      <c r="B105" s="258" t="s">
        <v>95</v>
      </c>
      <c r="C105" s="259">
        <v>4</v>
      </c>
      <c r="D105" s="260" t="s">
        <v>206</v>
      </c>
      <c r="E105" s="261">
        <v>46095</v>
      </c>
      <c r="F105" s="262">
        <v>0.6875</v>
      </c>
      <c r="G105" s="263" t="s">
        <v>23</v>
      </c>
      <c r="H105" s="328"/>
      <c r="I105" s="264" t="s">
        <v>187</v>
      </c>
      <c r="J105" s="265" t="s">
        <v>188</v>
      </c>
      <c r="K105" s="3">
        <f>WEEKDAY(E105)</f>
        <v>7</v>
      </c>
      <c r="L105">
        <f>IF(G105=L$1,1,IF(H105=L$1,1,""))</f>
        <v>1</v>
      </c>
      <c r="M105" s="39">
        <f t="shared" si="44"/>
        <v>85</v>
      </c>
      <c r="N105" s="42">
        <f>IF(H105&lt;&gt;"",20,10)</f>
        <v>10</v>
      </c>
      <c r="O105" s="39">
        <f t="shared" si="52"/>
        <v>0</v>
      </c>
      <c r="P105" s="39">
        <f t="shared" si="52"/>
        <v>0</v>
      </c>
      <c r="Q105" s="39">
        <f t="shared" si="62"/>
        <v>0</v>
      </c>
      <c r="R105" s="39">
        <f t="shared" si="63"/>
        <v>0</v>
      </c>
      <c r="S105" s="39">
        <f t="shared" si="63"/>
        <v>0</v>
      </c>
      <c r="T105" s="39">
        <f t="shared" si="63"/>
        <v>0</v>
      </c>
      <c r="U105" s="39">
        <f t="shared" si="63"/>
        <v>0</v>
      </c>
      <c r="V105" s="39">
        <f t="shared" si="63"/>
        <v>0</v>
      </c>
      <c r="W105" s="39">
        <f t="shared" si="63"/>
        <v>0</v>
      </c>
      <c r="X105" s="39">
        <f t="shared" si="63"/>
        <v>75</v>
      </c>
      <c r="Y105" s="39">
        <f t="shared" si="63"/>
        <v>0</v>
      </c>
      <c r="Z105" s="39">
        <f t="shared" si="63"/>
        <v>0</v>
      </c>
      <c r="AA105" s="39">
        <f t="shared" si="63"/>
        <v>0</v>
      </c>
      <c r="AB105" s="39">
        <f t="shared" si="64"/>
        <v>0</v>
      </c>
      <c r="AC105" s="39">
        <f t="shared" si="64"/>
        <v>0</v>
      </c>
      <c r="AD105" s="39">
        <f t="shared" si="64"/>
        <v>0</v>
      </c>
      <c r="AE105" s="39">
        <f t="shared" si="64"/>
        <v>0</v>
      </c>
      <c r="AF105" s="39">
        <f t="shared" si="64"/>
        <v>0</v>
      </c>
      <c r="AG105" s="39">
        <f t="shared" si="64"/>
        <v>0</v>
      </c>
      <c r="AH105" s="39">
        <f t="shared" si="64"/>
        <v>0</v>
      </c>
      <c r="AI105" s="39">
        <f t="shared" si="64"/>
        <v>0</v>
      </c>
      <c r="AJ105" s="39">
        <f t="shared" si="64"/>
        <v>0</v>
      </c>
      <c r="AK105" s="39">
        <f t="shared" si="64"/>
        <v>0</v>
      </c>
      <c r="AL105" s="39">
        <f t="shared" si="64"/>
        <v>0</v>
      </c>
      <c r="AM105" s="39">
        <f t="shared" si="64"/>
        <v>0</v>
      </c>
    </row>
    <row r="106" spans="1:41" x14ac:dyDescent="0.25">
      <c r="A106" s="266" t="s">
        <v>94</v>
      </c>
      <c r="B106" s="267" t="s">
        <v>95</v>
      </c>
      <c r="C106" s="268">
        <v>4</v>
      </c>
      <c r="D106" s="269" t="s">
        <v>206</v>
      </c>
      <c r="E106" s="270">
        <v>46096</v>
      </c>
      <c r="F106" s="271">
        <v>0.375</v>
      </c>
      <c r="G106" s="272" t="s">
        <v>102</v>
      </c>
      <c r="H106" s="225"/>
      <c r="I106" s="273" t="s">
        <v>186</v>
      </c>
      <c r="J106" s="274" t="s">
        <v>189</v>
      </c>
      <c r="K106" s="3">
        <f t="shared" ref="K106:K111" si="65">WEEKDAY(E106)</f>
        <v>1</v>
      </c>
      <c r="L106">
        <f t="shared" ref="L106:L114" si="66">IF(G106=L$1,1,IF(H106=L$1,1,""))</f>
        <v>1</v>
      </c>
      <c r="M106" s="39">
        <f t="shared" si="44"/>
        <v>80</v>
      </c>
      <c r="N106" s="42">
        <f t="shared" ref="N106:N111" si="67">IF(H106&lt;&gt;"",20,10)</f>
        <v>10</v>
      </c>
      <c r="O106" s="39">
        <f t="shared" si="52"/>
        <v>0</v>
      </c>
      <c r="P106" s="39">
        <f t="shared" si="52"/>
        <v>0</v>
      </c>
      <c r="Q106" s="39">
        <f t="shared" si="62"/>
        <v>0</v>
      </c>
      <c r="R106" s="39">
        <f t="shared" si="63"/>
        <v>0</v>
      </c>
      <c r="S106" s="39">
        <f t="shared" si="63"/>
        <v>0</v>
      </c>
      <c r="T106" s="39">
        <f t="shared" si="63"/>
        <v>0</v>
      </c>
      <c r="U106" s="39">
        <f t="shared" si="63"/>
        <v>0</v>
      </c>
      <c r="V106" s="39">
        <f t="shared" si="63"/>
        <v>0</v>
      </c>
      <c r="W106" s="39">
        <f t="shared" si="63"/>
        <v>70</v>
      </c>
      <c r="X106" s="39">
        <f t="shared" si="63"/>
        <v>0</v>
      </c>
      <c r="Y106" s="39">
        <f t="shared" si="63"/>
        <v>0</v>
      </c>
      <c r="Z106" s="39">
        <f t="shared" si="63"/>
        <v>0</v>
      </c>
      <c r="AA106" s="39">
        <f t="shared" si="63"/>
        <v>0</v>
      </c>
      <c r="AB106" s="39">
        <f t="shared" si="64"/>
        <v>0</v>
      </c>
      <c r="AC106" s="39">
        <f t="shared" si="64"/>
        <v>0</v>
      </c>
      <c r="AD106" s="39">
        <f t="shared" si="64"/>
        <v>0</v>
      </c>
      <c r="AE106" s="39">
        <f t="shared" si="64"/>
        <v>0</v>
      </c>
      <c r="AF106" s="39">
        <f t="shared" si="64"/>
        <v>0</v>
      </c>
      <c r="AG106" s="39">
        <f t="shared" si="64"/>
        <v>0</v>
      </c>
      <c r="AH106" s="39">
        <f t="shared" si="64"/>
        <v>0</v>
      </c>
      <c r="AI106" s="39">
        <f t="shared" si="64"/>
        <v>0</v>
      </c>
      <c r="AJ106" s="39">
        <f t="shared" si="64"/>
        <v>0</v>
      </c>
      <c r="AK106" s="39">
        <f t="shared" si="64"/>
        <v>0</v>
      </c>
      <c r="AL106" s="39">
        <f t="shared" si="64"/>
        <v>0</v>
      </c>
      <c r="AM106" s="39">
        <f t="shared" si="64"/>
        <v>0</v>
      </c>
    </row>
    <row r="107" spans="1:41" x14ac:dyDescent="0.25">
      <c r="A107" s="266" t="s">
        <v>93</v>
      </c>
      <c r="B107" s="267" t="s">
        <v>89</v>
      </c>
      <c r="C107" s="268">
        <v>4</v>
      </c>
      <c r="D107" s="269" t="s">
        <v>206</v>
      </c>
      <c r="E107" s="270">
        <v>46096</v>
      </c>
      <c r="F107" s="271">
        <v>0.47916666666666669</v>
      </c>
      <c r="G107" s="272" t="s">
        <v>102</v>
      </c>
      <c r="H107" s="225"/>
      <c r="I107" s="273" t="s">
        <v>186</v>
      </c>
      <c r="J107" s="274" t="s">
        <v>189</v>
      </c>
      <c r="K107" s="3">
        <f t="shared" si="65"/>
        <v>1</v>
      </c>
      <c r="L107">
        <f t="shared" si="66"/>
        <v>1</v>
      </c>
      <c r="M107" s="39">
        <f t="shared" si="44"/>
        <v>80</v>
      </c>
      <c r="N107" s="42">
        <f t="shared" si="67"/>
        <v>10</v>
      </c>
      <c r="O107" s="39">
        <f t="shared" si="52"/>
        <v>0</v>
      </c>
      <c r="P107" s="39">
        <f t="shared" si="52"/>
        <v>0</v>
      </c>
      <c r="Q107" s="39">
        <f t="shared" si="62"/>
        <v>0</v>
      </c>
      <c r="R107" s="39">
        <f t="shared" si="63"/>
        <v>0</v>
      </c>
      <c r="S107" s="39">
        <f t="shared" si="63"/>
        <v>0</v>
      </c>
      <c r="T107" s="39">
        <f t="shared" si="63"/>
        <v>0</v>
      </c>
      <c r="U107" s="39">
        <f t="shared" si="63"/>
        <v>0</v>
      </c>
      <c r="V107" s="39">
        <f t="shared" si="63"/>
        <v>0</v>
      </c>
      <c r="W107" s="39">
        <f t="shared" si="63"/>
        <v>70</v>
      </c>
      <c r="X107" s="39">
        <f t="shared" si="63"/>
        <v>0</v>
      </c>
      <c r="Y107" s="39">
        <f t="shared" si="63"/>
        <v>0</v>
      </c>
      <c r="Z107" s="39">
        <f t="shared" si="63"/>
        <v>0</v>
      </c>
      <c r="AA107" s="39">
        <f t="shared" si="63"/>
        <v>0</v>
      </c>
      <c r="AB107" s="39">
        <f t="shared" si="64"/>
        <v>0</v>
      </c>
      <c r="AC107" s="39">
        <f t="shared" si="64"/>
        <v>0</v>
      </c>
      <c r="AD107" s="39">
        <f t="shared" si="64"/>
        <v>0</v>
      </c>
      <c r="AE107" s="39">
        <f t="shared" si="64"/>
        <v>0</v>
      </c>
      <c r="AF107" s="39">
        <f t="shared" si="64"/>
        <v>0</v>
      </c>
      <c r="AG107" s="39">
        <f t="shared" si="64"/>
        <v>0</v>
      </c>
      <c r="AH107" s="39">
        <f t="shared" si="64"/>
        <v>0</v>
      </c>
      <c r="AI107" s="39">
        <f t="shared" si="64"/>
        <v>0</v>
      </c>
      <c r="AJ107" s="39">
        <f t="shared" si="64"/>
        <v>0</v>
      </c>
      <c r="AK107" s="39">
        <f t="shared" si="64"/>
        <v>0</v>
      </c>
      <c r="AL107" s="39">
        <f t="shared" si="64"/>
        <v>0</v>
      </c>
      <c r="AM107" s="39">
        <f t="shared" si="64"/>
        <v>0</v>
      </c>
    </row>
    <row r="108" spans="1:41" x14ac:dyDescent="0.25">
      <c r="A108" s="266" t="s">
        <v>90</v>
      </c>
      <c r="B108" s="267" t="s">
        <v>92</v>
      </c>
      <c r="C108" s="268">
        <v>4</v>
      </c>
      <c r="D108" s="269" t="s">
        <v>206</v>
      </c>
      <c r="E108" s="270">
        <v>46096</v>
      </c>
      <c r="F108" s="271">
        <v>0.58333333333333337</v>
      </c>
      <c r="G108" s="272" t="s">
        <v>75</v>
      </c>
      <c r="H108" s="225"/>
      <c r="I108" s="273" t="s">
        <v>186</v>
      </c>
      <c r="J108" s="274" t="s">
        <v>189</v>
      </c>
      <c r="K108" s="3">
        <f t="shared" si="65"/>
        <v>1</v>
      </c>
      <c r="L108">
        <f t="shared" si="66"/>
        <v>1</v>
      </c>
      <c r="M108" s="39">
        <f t="shared" ref="M108:M139" si="68">SUM(N108:AM108)</f>
        <v>80</v>
      </c>
      <c r="N108" s="42">
        <f t="shared" si="67"/>
        <v>10</v>
      </c>
      <c r="O108" s="39">
        <f t="shared" si="52"/>
        <v>0</v>
      </c>
      <c r="P108" s="39">
        <f t="shared" si="52"/>
        <v>0</v>
      </c>
      <c r="Q108" s="39">
        <f t="shared" si="62"/>
        <v>0</v>
      </c>
      <c r="R108" s="39">
        <f t="shared" si="63"/>
        <v>0</v>
      </c>
      <c r="S108" s="39">
        <f t="shared" si="63"/>
        <v>0</v>
      </c>
      <c r="T108" s="39">
        <f t="shared" si="63"/>
        <v>0</v>
      </c>
      <c r="U108" s="39">
        <f t="shared" si="63"/>
        <v>0</v>
      </c>
      <c r="V108" s="39">
        <f t="shared" si="63"/>
        <v>0</v>
      </c>
      <c r="W108" s="39">
        <f t="shared" si="63"/>
        <v>0</v>
      </c>
      <c r="X108" s="39">
        <f t="shared" si="63"/>
        <v>0</v>
      </c>
      <c r="Y108" s="39">
        <f t="shared" si="63"/>
        <v>0</v>
      </c>
      <c r="Z108" s="39">
        <f t="shared" si="63"/>
        <v>0</v>
      </c>
      <c r="AA108" s="39">
        <f t="shared" si="63"/>
        <v>0</v>
      </c>
      <c r="AB108" s="39">
        <f t="shared" si="64"/>
        <v>70</v>
      </c>
      <c r="AC108" s="39">
        <f t="shared" si="64"/>
        <v>0</v>
      </c>
      <c r="AD108" s="39">
        <f t="shared" si="64"/>
        <v>0</v>
      </c>
      <c r="AE108" s="39">
        <f t="shared" si="64"/>
        <v>0</v>
      </c>
      <c r="AF108" s="39">
        <f t="shared" si="64"/>
        <v>0</v>
      </c>
      <c r="AG108" s="39">
        <f t="shared" si="64"/>
        <v>0</v>
      </c>
      <c r="AH108" s="39">
        <f t="shared" si="64"/>
        <v>0</v>
      </c>
      <c r="AI108" s="39">
        <f t="shared" si="64"/>
        <v>0</v>
      </c>
      <c r="AJ108" s="39">
        <f t="shared" si="64"/>
        <v>0</v>
      </c>
      <c r="AK108" s="39">
        <f t="shared" si="64"/>
        <v>0</v>
      </c>
      <c r="AL108" s="39">
        <f t="shared" si="64"/>
        <v>0</v>
      </c>
      <c r="AM108" s="39">
        <f t="shared" si="64"/>
        <v>0</v>
      </c>
    </row>
    <row r="109" spans="1:41" x14ac:dyDescent="0.25">
      <c r="A109" s="266" t="s">
        <v>100</v>
      </c>
      <c r="B109" s="267" t="s">
        <v>99</v>
      </c>
      <c r="C109" s="268">
        <v>4</v>
      </c>
      <c r="D109" s="269" t="s">
        <v>206</v>
      </c>
      <c r="E109" s="270">
        <v>46096</v>
      </c>
      <c r="F109" s="271">
        <v>0.375</v>
      </c>
      <c r="G109" s="272" t="s">
        <v>108</v>
      </c>
      <c r="H109" s="225"/>
      <c r="I109" s="273" t="s">
        <v>187</v>
      </c>
      <c r="J109" s="274" t="s">
        <v>189</v>
      </c>
      <c r="K109" s="3">
        <f t="shared" si="65"/>
        <v>1</v>
      </c>
      <c r="L109">
        <f t="shared" si="66"/>
        <v>1</v>
      </c>
      <c r="M109" s="39">
        <f t="shared" si="68"/>
        <v>80</v>
      </c>
      <c r="N109" s="42">
        <f t="shared" si="67"/>
        <v>10</v>
      </c>
      <c r="O109" s="39">
        <f t="shared" si="52"/>
        <v>0</v>
      </c>
      <c r="P109" s="39">
        <f t="shared" si="52"/>
        <v>0</v>
      </c>
      <c r="Q109" s="39">
        <f t="shared" si="62"/>
        <v>0</v>
      </c>
      <c r="R109" s="39">
        <f t="shared" si="63"/>
        <v>0</v>
      </c>
      <c r="S109" s="39">
        <f t="shared" si="63"/>
        <v>0</v>
      </c>
      <c r="T109" s="39">
        <f t="shared" si="63"/>
        <v>0</v>
      </c>
      <c r="U109" s="39">
        <f t="shared" si="63"/>
        <v>0</v>
      </c>
      <c r="V109" s="39">
        <f t="shared" si="63"/>
        <v>0</v>
      </c>
      <c r="W109" s="39">
        <f t="shared" si="63"/>
        <v>0</v>
      </c>
      <c r="X109" s="39">
        <f t="shared" si="63"/>
        <v>0</v>
      </c>
      <c r="Y109" s="39">
        <f t="shared" si="63"/>
        <v>0</v>
      </c>
      <c r="Z109" s="39">
        <f t="shared" si="63"/>
        <v>0</v>
      </c>
      <c r="AA109" s="39">
        <f t="shared" si="63"/>
        <v>0</v>
      </c>
      <c r="AB109" s="39">
        <f t="shared" si="64"/>
        <v>0</v>
      </c>
      <c r="AC109" s="39">
        <f t="shared" si="64"/>
        <v>0</v>
      </c>
      <c r="AD109" s="39">
        <f t="shared" si="64"/>
        <v>0</v>
      </c>
      <c r="AE109" s="39">
        <f t="shared" si="64"/>
        <v>70</v>
      </c>
      <c r="AF109" s="39">
        <f t="shared" si="64"/>
        <v>0</v>
      </c>
      <c r="AG109" s="39">
        <f t="shared" si="64"/>
        <v>0</v>
      </c>
      <c r="AH109" s="39">
        <f t="shared" si="64"/>
        <v>0</v>
      </c>
      <c r="AI109" s="39">
        <f t="shared" si="64"/>
        <v>0</v>
      </c>
      <c r="AJ109" s="39">
        <f t="shared" si="64"/>
        <v>0</v>
      </c>
      <c r="AK109" s="39">
        <f t="shared" si="64"/>
        <v>0</v>
      </c>
      <c r="AL109" s="39">
        <f t="shared" si="64"/>
        <v>0</v>
      </c>
      <c r="AM109" s="39">
        <f t="shared" si="64"/>
        <v>0</v>
      </c>
    </row>
    <row r="110" spans="1:41" x14ac:dyDescent="0.25">
      <c r="A110" s="266" t="s">
        <v>96</v>
      </c>
      <c r="B110" s="267" t="s">
        <v>97</v>
      </c>
      <c r="C110" s="268">
        <v>4</v>
      </c>
      <c r="D110" s="269" t="s">
        <v>206</v>
      </c>
      <c r="E110" s="270">
        <v>46096</v>
      </c>
      <c r="F110" s="271">
        <v>0.47916666666666669</v>
      </c>
      <c r="G110" s="272" t="s">
        <v>23</v>
      </c>
      <c r="H110" s="225"/>
      <c r="I110" s="273" t="s">
        <v>187</v>
      </c>
      <c r="J110" s="274" t="s">
        <v>189</v>
      </c>
      <c r="K110" s="3">
        <f t="shared" si="65"/>
        <v>1</v>
      </c>
      <c r="L110">
        <f t="shared" si="66"/>
        <v>1</v>
      </c>
      <c r="M110" s="39">
        <f t="shared" si="68"/>
        <v>80</v>
      </c>
      <c r="N110" s="42">
        <f t="shared" si="67"/>
        <v>10</v>
      </c>
      <c r="O110" s="39">
        <f t="shared" si="52"/>
        <v>0</v>
      </c>
      <c r="P110" s="39">
        <f t="shared" si="52"/>
        <v>0</v>
      </c>
      <c r="Q110" s="39">
        <f t="shared" si="62"/>
        <v>0</v>
      </c>
      <c r="R110" s="39">
        <f t="shared" si="63"/>
        <v>0</v>
      </c>
      <c r="S110" s="39">
        <f t="shared" si="63"/>
        <v>0</v>
      </c>
      <c r="T110" s="39">
        <f t="shared" si="63"/>
        <v>0</v>
      </c>
      <c r="U110" s="39">
        <f t="shared" si="63"/>
        <v>0</v>
      </c>
      <c r="V110" s="39">
        <f t="shared" si="63"/>
        <v>0</v>
      </c>
      <c r="W110" s="39">
        <f t="shared" si="63"/>
        <v>0</v>
      </c>
      <c r="X110" s="39">
        <f t="shared" si="63"/>
        <v>70</v>
      </c>
      <c r="Y110" s="39">
        <f t="shared" si="63"/>
        <v>0</v>
      </c>
      <c r="Z110" s="39">
        <f t="shared" si="63"/>
        <v>0</v>
      </c>
      <c r="AA110" s="39">
        <f t="shared" si="63"/>
        <v>0</v>
      </c>
      <c r="AB110" s="39">
        <f t="shared" si="64"/>
        <v>0</v>
      </c>
      <c r="AC110" s="39">
        <f t="shared" si="64"/>
        <v>0</v>
      </c>
      <c r="AD110" s="39">
        <f t="shared" si="64"/>
        <v>0</v>
      </c>
      <c r="AE110" s="39">
        <f t="shared" si="64"/>
        <v>0</v>
      </c>
      <c r="AF110" s="39">
        <f t="shared" si="64"/>
        <v>0</v>
      </c>
      <c r="AG110" s="39">
        <f t="shared" si="64"/>
        <v>0</v>
      </c>
      <c r="AH110" s="39">
        <f t="shared" si="64"/>
        <v>0</v>
      </c>
      <c r="AI110" s="39">
        <f t="shared" si="64"/>
        <v>0</v>
      </c>
      <c r="AJ110" s="39">
        <f t="shared" si="64"/>
        <v>0</v>
      </c>
      <c r="AK110" s="39">
        <f t="shared" si="64"/>
        <v>0</v>
      </c>
      <c r="AL110" s="39">
        <f t="shared" si="64"/>
        <v>0</v>
      </c>
      <c r="AM110" s="39">
        <f t="shared" si="64"/>
        <v>0</v>
      </c>
    </row>
    <row r="111" spans="1:41" ht="15.75" thickBot="1" x14ac:dyDescent="0.3">
      <c r="A111" s="430" t="s">
        <v>101</v>
      </c>
      <c r="B111" s="431" t="s">
        <v>98</v>
      </c>
      <c r="C111" s="432">
        <v>4</v>
      </c>
      <c r="D111" s="433" t="s">
        <v>206</v>
      </c>
      <c r="E111" s="434">
        <v>46096</v>
      </c>
      <c r="F111" s="435">
        <v>0.58333333333333337</v>
      </c>
      <c r="G111" s="436" t="s">
        <v>23</v>
      </c>
      <c r="H111" s="437"/>
      <c r="I111" s="438" t="s">
        <v>187</v>
      </c>
      <c r="J111" s="439" t="s">
        <v>189</v>
      </c>
      <c r="K111" s="3">
        <f t="shared" si="65"/>
        <v>1</v>
      </c>
      <c r="L111">
        <f t="shared" si="66"/>
        <v>1</v>
      </c>
      <c r="M111" s="39">
        <f t="shared" si="68"/>
        <v>80</v>
      </c>
      <c r="N111" s="42">
        <f t="shared" si="67"/>
        <v>10</v>
      </c>
      <c r="O111" s="39">
        <f t="shared" si="52"/>
        <v>0</v>
      </c>
      <c r="P111" s="39">
        <f t="shared" si="52"/>
        <v>0</v>
      </c>
      <c r="Q111" s="39">
        <f t="shared" si="62"/>
        <v>0</v>
      </c>
      <c r="R111" s="39">
        <f t="shared" si="63"/>
        <v>0</v>
      </c>
      <c r="S111" s="39">
        <f t="shared" si="63"/>
        <v>0</v>
      </c>
      <c r="T111" s="39">
        <f t="shared" si="63"/>
        <v>0</v>
      </c>
      <c r="U111" s="39">
        <f t="shared" si="63"/>
        <v>0</v>
      </c>
      <c r="V111" s="39">
        <f t="shared" si="63"/>
        <v>0</v>
      </c>
      <c r="W111" s="39">
        <f t="shared" si="63"/>
        <v>0</v>
      </c>
      <c r="X111" s="39">
        <f t="shared" si="63"/>
        <v>70</v>
      </c>
      <c r="Y111" s="39">
        <f t="shared" si="63"/>
        <v>0</v>
      </c>
      <c r="Z111" s="39">
        <f t="shared" si="63"/>
        <v>0</v>
      </c>
      <c r="AA111" s="39">
        <f t="shared" si="63"/>
        <v>0</v>
      </c>
      <c r="AB111" s="39">
        <f t="shared" si="64"/>
        <v>0</v>
      </c>
      <c r="AC111" s="39">
        <f t="shared" si="64"/>
        <v>0</v>
      </c>
      <c r="AD111" s="39">
        <f t="shared" si="64"/>
        <v>0</v>
      </c>
      <c r="AE111" s="39">
        <f t="shared" si="64"/>
        <v>0</v>
      </c>
      <c r="AF111" s="39">
        <f t="shared" si="64"/>
        <v>0</v>
      </c>
      <c r="AG111" s="39">
        <f t="shared" si="64"/>
        <v>0</v>
      </c>
      <c r="AH111" s="39">
        <f t="shared" si="64"/>
        <v>0</v>
      </c>
      <c r="AI111" s="39">
        <f t="shared" si="64"/>
        <v>0</v>
      </c>
      <c r="AJ111" s="39">
        <f t="shared" si="64"/>
        <v>0</v>
      </c>
      <c r="AK111" s="39">
        <f t="shared" si="64"/>
        <v>0</v>
      </c>
      <c r="AL111" s="39">
        <f t="shared" si="64"/>
        <v>0</v>
      </c>
      <c r="AM111" s="39">
        <f t="shared" si="64"/>
        <v>0</v>
      </c>
    </row>
    <row r="112" spans="1:41" ht="13.5" customHeight="1" thickBot="1" x14ac:dyDescent="0.3">
      <c r="A112" s="88"/>
      <c r="B112" s="89"/>
      <c r="C112" s="90"/>
      <c r="D112" s="91"/>
      <c r="E112" s="92"/>
      <c r="F112" s="187"/>
      <c r="G112" s="202"/>
      <c r="H112" s="194"/>
      <c r="I112" s="177"/>
      <c r="J112" s="45" t="str">
        <f>"Totals for " &amp; D111 &amp;"…"</f>
        <v>Totals for Mar 9-Mar 15…</v>
      </c>
      <c r="K112" s="3">
        <v>9</v>
      </c>
      <c r="L112">
        <f t="shared" si="66"/>
        <v>1</v>
      </c>
      <c r="M112" s="46">
        <f t="shared" si="68"/>
        <v>3085</v>
      </c>
      <c r="N112" s="43">
        <f t="shared" ref="N112:AM112" si="69">SUM(N81:N111)</f>
        <v>370</v>
      </c>
      <c r="O112" s="420">
        <f t="shared" si="69"/>
        <v>245</v>
      </c>
      <c r="P112" s="420">
        <f t="shared" si="69"/>
        <v>365</v>
      </c>
      <c r="Q112" s="420">
        <f t="shared" si="69"/>
        <v>140</v>
      </c>
      <c r="R112" s="420">
        <f t="shared" si="69"/>
        <v>145</v>
      </c>
      <c r="S112" s="420">
        <f t="shared" si="69"/>
        <v>305</v>
      </c>
      <c r="T112" s="420">
        <f t="shared" si="69"/>
        <v>150</v>
      </c>
      <c r="U112" s="420">
        <f>SUM(U81:U111)</f>
        <v>145</v>
      </c>
      <c r="V112" s="420">
        <f t="shared" si="69"/>
        <v>220</v>
      </c>
      <c r="W112" s="420">
        <f t="shared" si="69"/>
        <v>140</v>
      </c>
      <c r="X112" s="420">
        <f t="shared" si="69"/>
        <v>215</v>
      </c>
      <c r="Y112" s="420">
        <f t="shared" si="69"/>
        <v>75</v>
      </c>
      <c r="Z112" s="420">
        <f t="shared" si="69"/>
        <v>70</v>
      </c>
      <c r="AA112" s="419">
        <f t="shared" si="69"/>
        <v>0</v>
      </c>
      <c r="AB112" s="420">
        <f t="shared" si="69"/>
        <v>70</v>
      </c>
      <c r="AC112" s="420">
        <f t="shared" si="69"/>
        <v>290</v>
      </c>
      <c r="AD112" s="420">
        <f t="shared" si="69"/>
        <v>70</v>
      </c>
      <c r="AE112" s="420">
        <f t="shared" si="69"/>
        <v>70</v>
      </c>
      <c r="AF112" s="43">
        <f>SUM(AF81:AF111)</f>
        <v>0</v>
      </c>
      <c r="AG112" s="47">
        <f t="shared" si="69"/>
        <v>0</v>
      </c>
      <c r="AH112" s="47">
        <f t="shared" si="69"/>
        <v>0</v>
      </c>
      <c r="AI112" s="47">
        <f t="shared" si="69"/>
        <v>0</v>
      </c>
      <c r="AJ112" s="47">
        <f t="shared" si="69"/>
        <v>0</v>
      </c>
      <c r="AK112" s="47">
        <f t="shared" si="69"/>
        <v>0</v>
      </c>
      <c r="AL112" s="47">
        <f t="shared" si="69"/>
        <v>0</v>
      </c>
      <c r="AM112" s="47">
        <f t="shared" si="69"/>
        <v>0</v>
      </c>
      <c r="AN112" s="86">
        <f>SUM(N112:AM112)</f>
        <v>3085</v>
      </c>
      <c r="AO112" s="87"/>
    </row>
    <row r="113" spans="1:39" x14ac:dyDescent="0.25">
      <c r="A113" s="25" t="s">
        <v>90</v>
      </c>
      <c r="B113" s="26" t="s">
        <v>97</v>
      </c>
      <c r="C113" s="28">
        <v>5</v>
      </c>
      <c r="D113" s="27" t="s">
        <v>210</v>
      </c>
      <c r="E113" s="32">
        <v>46097</v>
      </c>
      <c r="F113" s="181">
        <v>0.70833333333333337</v>
      </c>
      <c r="G113" s="195" t="s">
        <v>18</v>
      </c>
      <c r="H113" s="196"/>
      <c r="I113" s="153" t="s">
        <v>186</v>
      </c>
      <c r="J113" s="154" t="s">
        <v>188</v>
      </c>
      <c r="K113" s="3">
        <f t="shared" ref="K113:K114" si="70">WEEKDAY(E113)</f>
        <v>2</v>
      </c>
      <c r="L113">
        <f t="shared" si="66"/>
        <v>1</v>
      </c>
      <c r="M113" s="39">
        <f t="shared" si="68"/>
        <v>85</v>
      </c>
      <c r="N113" s="42">
        <f t="shared" ref="N113:N131" si="71">IF(H113&lt;&gt;"",20,10)</f>
        <v>10</v>
      </c>
      <c r="O113" s="39">
        <f t="shared" ref="O113:X114" si="72">IF($G113=O$1,VLOOKUP($J113,$AP:$AQ,2,FALSE),IF($H113=O$1,70,0))</f>
        <v>0</v>
      </c>
      <c r="P113" s="39">
        <f t="shared" si="72"/>
        <v>75</v>
      </c>
      <c r="Q113" s="39">
        <f t="shared" si="72"/>
        <v>0</v>
      </c>
      <c r="R113" s="39">
        <f t="shared" si="72"/>
        <v>0</v>
      </c>
      <c r="S113" s="39">
        <f t="shared" si="72"/>
        <v>0</v>
      </c>
      <c r="T113" s="39">
        <f t="shared" si="72"/>
        <v>0</v>
      </c>
      <c r="U113" s="39">
        <f t="shared" si="72"/>
        <v>0</v>
      </c>
      <c r="V113" s="39">
        <f t="shared" si="72"/>
        <v>0</v>
      </c>
      <c r="W113" s="39">
        <f t="shared" si="72"/>
        <v>0</v>
      </c>
      <c r="X113" s="39">
        <f t="shared" si="72"/>
        <v>0</v>
      </c>
      <c r="Y113" s="39">
        <f t="shared" ref="Y113:AM114" si="73">IF($G113=Y$1,VLOOKUP($J113,$AP:$AQ,2,FALSE),IF($H113=Y$1,70,0))</f>
        <v>0</v>
      </c>
      <c r="Z113" s="39">
        <f t="shared" si="73"/>
        <v>0</v>
      </c>
      <c r="AA113" s="39">
        <f t="shared" si="73"/>
        <v>0</v>
      </c>
      <c r="AB113" s="39">
        <f t="shared" si="73"/>
        <v>0</v>
      </c>
      <c r="AC113" s="39">
        <f t="shared" si="73"/>
        <v>0</v>
      </c>
      <c r="AD113" s="39">
        <f t="shared" si="73"/>
        <v>0</v>
      </c>
      <c r="AE113" s="39">
        <f t="shared" si="73"/>
        <v>0</v>
      </c>
      <c r="AF113" s="39">
        <f t="shared" si="73"/>
        <v>0</v>
      </c>
      <c r="AG113" s="39">
        <f t="shared" si="73"/>
        <v>0</v>
      </c>
      <c r="AH113" s="39">
        <f t="shared" si="73"/>
        <v>0</v>
      </c>
      <c r="AI113" s="39">
        <f t="shared" si="73"/>
        <v>0</v>
      </c>
      <c r="AJ113" s="39">
        <f t="shared" si="73"/>
        <v>0</v>
      </c>
      <c r="AK113" s="39">
        <f t="shared" si="73"/>
        <v>0</v>
      </c>
      <c r="AL113" s="39">
        <f t="shared" si="73"/>
        <v>0</v>
      </c>
      <c r="AM113" s="39">
        <f t="shared" si="73"/>
        <v>0</v>
      </c>
    </row>
    <row r="114" spans="1:39" x14ac:dyDescent="0.25">
      <c r="A114" s="22" t="s">
        <v>94</v>
      </c>
      <c r="B114" s="23" t="s">
        <v>98</v>
      </c>
      <c r="C114" s="220">
        <v>5</v>
      </c>
      <c r="D114" s="24" t="s">
        <v>210</v>
      </c>
      <c r="E114" s="33">
        <v>46097</v>
      </c>
      <c r="F114" s="183">
        <v>0.70833333333333337</v>
      </c>
      <c r="G114" s="203" t="s">
        <v>73</v>
      </c>
      <c r="H114" s="196"/>
      <c r="I114" s="157" t="s">
        <v>187</v>
      </c>
      <c r="J114" s="158" t="s">
        <v>188</v>
      </c>
      <c r="K114" s="3">
        <f t="shared" si="70"/>
        <v>2</v>
      </c>
      <c r="L114">
        <f t="shared" si="66"/>
        <v>1</v>
      </c>
      <c r="M114" s="39">
        <f t="shared" si="68"/>
        <v>85</v>
      </c>
      <c r="N114" s="42">
        <f t="shared" si="71"/>
        <v>10</v>
      </c>
      <c r="O114" s="39">
        <f t="shared" si="72"/>
        <v>0</v>
      </c>
      <c r="P114" s="39">
        <f t="shared" si="72"/>
        <v>0</v>
      </c>
      <c r="Q114" s="39">
        <f t="shared" si="72"/>
        <v>0</v>
      </c>
      <c r="R114" s="39">
        <f t="shared" si="72"/>
        <v>0</v>
      </c>
      <c r="S114" s="39">
        <f t="shared" si="72"/>
        <v>0</v>
      </c>
      <c r="T114" s="39">
        <f t="shared" si="72"/>
        <v>75</v>
      </c>
      <c r="U114" s="39">
        <f t="shared" si="72"/>
        <v>0</v>
      </c>
      <c r="V114" s="39">
        <f t="shared" si="72"/>
        <v>0</v>
      </c>
      <c r="W114" s="39">
        <f t="shared" si="72"/>
        <v>0</v>
      </c>
      <c r="X114" s="39">
        <f t="shared" si="72"/>
        <v>0</v>
      </c>
      <c r="Y114" s="39">
        <f t="shared" si="73"/>
        <v>0</v>
      </c>
      <c r="Z114" s="39">
        <f t="shared" si="73"/>
        <v>0</v>
      </c>
      <c r="AA114" s="39">
        <f t="shared" si="73"/>
        <v>0</v>
      </c>
      <c r="AB114" s="39">
        <f t="shared" si="73"/>
        <v>0</v>
      </c>
      <c r="AC114" s="39">
        <f t="shared" si="73"/>
        <v>0</v>
      </c>
      <c r="AD114" s="39">
        <f t="shared" si="73"/>
        <v>0</v>
      </c>
      <c r="AE114" s="39">
        <f t="shared" si="73"/>
        <v>0</v>
      </c>
      <c r="AF114" s="39">
        <f t="shared" si="73"/>
        <v>0</v>
      </c>
      <c r="AG114" s="39">
        <f t="shared" si="73"/>
        <v>0</v>
      </c>
      <c r="AH114" s="39">
        <f t="shared" si="73"/>
        <v>0</v>
      </c>
      <c r="AI114" s="39">
        <f t="shared" si="73"/>
        <v>0</v>
      </c>
      <c r="AJ114" s="39">
        <f t="shared" si="73"/>
        <v>0</v>
      </c>
      <c r="AK114" s="39">
        <f t="shared" si="73"/>
        <v>0</v>
      </c>
      <c r="AL114" s="39">
        <f t="shared" si="73"/>
        <v>0</v>
      </c>
      <c r="AM114" s="39">
        <f t="shared" si="73"/>
        <v>0</v>
      </c>
    </row>
    <row r="115" spans="1:39" x14ac:dyDescent="0.25">
      <c r="A115" s="406" t="s">
        <v>194</v>
      </c>
      <c r="B115" s="407" t="s">
        <v>195</v>
      </c>
      <c r="C115" s="423">
        <v>5</v>
      </c>
      <c r="D115" s="408" t="s">
        <v>210</v>
      </c>
      <c r="E115" s="409">
        <v>46097</v>
      </c>
      <c r="F115" s="410">
        <v>0.75</v>
      </c>
      <c r="G115" s="411" t="s">
        <v>104</v>
      </c>
      <c r="H115" s="207"/>
      <c r="I115" s="412" t="s">
        <v>196</v>
      </c>
      <c r="J115" s="413" t="s">
        <v>196</v>
      </c>
      <c r="K115" s="3"/>
      <c r="L115">
        <f>IF(G115=L$1,1,IF(H115=L$1,1,""))</f>
        <v>1</v>
      </c>
      <c r="M115" s="39">
        <f t="shared" si="68"/>
        <v>95</v>
      </c>
      <c r="N115" s="42">
        <f t="shared" si="71"/>
        <v>10</v>
      </c>
      <c r="O115" s="39">
        <f t="shared" ref="O115:P141" si="74">IF($G115=O$1,VLOOKUP($J115,$AP:$AQ,2,FALSE),IF($H115=O$1,70,0))</f>
        <v>0</v>
      </c>
      <c r="P115" s="39">
        <f t="shared" si="74"/>
        <v>0</v>
      </c>
      <c r="Q115" s="39"/>
      <c r="R115" s="39">
        <f t="shared" ref="R115:AA124" si="75">IF($G115=R$1,VLOOKUP($J115,$AP:$AQ,2,FALSE),IF($H115=R$1,70,0))</f>
        <v>0</v>
      </c>
      <c r="S115" s="39">
        <f t="shared" si="75"/>
        <v>0</v>
      </c>
      <c r="T115" s="39">
        <f t="shared" si="75"/>
        <v>0</v>
      </c>
      <c r="U115" s="39">
        <f t="shared" si="75"/>
        <v>85</v>
      </c>
      <c r="V115" s="39">
        <f t="shared" si="75"/>
        <v>0</v>
      </c>
      <c r="W115" s="39">
        <f t="shared" si="75"/>
        <v>0</v>
      </c>
      <c r="X115" s="39">
        <f t="shared" si="75"/>
        <v>0</v>
      </c>
      <c r="Y115" s="39">
        <f t="shared" si="75"/>
        <v>0</v>
      </c>
      <c r="Z115" s="39">
        <f t="shared" si="75"/>
        <v>0</v>
      </c>
      <c r="AA115" s="39">
        <f t="shared" si="75"/>
        <v>0</v>
      </c>
      <c r="AB115" s="39">
        <f t="shared" ref="AB115:AM124" si="76">IF($G115=AB$1,VLOOKUP($J115,$AP:$AQ,2,FALSE),IF($H115=AB$1,70,0))</f>
        <v>0</v>
      </c>
      <c r="AC115" s="39">
        <f t="shared" si="76"/>
        <v>0</v>
      </c>
      <c r="AD115" s="39">
        <f t="shared" si="76"/>
        <v>0</v>
      </c>
      <c r="AE115" s="39">
        <f t="shared" si="76"/>
        <v>0</v>
      </c>
      <c r="AF115" s="39">
        <f t="shared" si="76"/>
        <v>0</v>
      </c>
      <c r="AG115" s="39">
        <f t="shared" si="76"/>
        <v>0</v>
      </c>
      <c r="AH115" s="39">
        <f t="shared" si="76"/>
        <v>0</v>
      </c>
      <c r="AI115" s="39">
        <f t="shared" si="76"/>
        <v>0</v>
      </c>
      <c r="AJ115" s="39">
        <f t="shared" si="76"/>
        <v>0</v>
      </c>
      <c r="AK115" s="39">
        <f t="shared" si="76"/>
        <v>0</v>
      </c>
      <c r="AL115" s="39">
        <f t="shared" si="76"/>
        <v>0</v>
      </c>
      <c r="AM115" s="39">
        <f t="shared" si="76"/>
        <v>0</v>
      </c>
    </row>
    <row r="116" spans="1:39" x14ac:dyDescent="0.25">
      <c r="A116" s="16" t="s">
        <v>95</v>
      </c>
      <c r="B116" s="17" t="s">
        <v>99</v>
      </c>
      <c r="C116" s="259">
        <v>5</v>
      </c>
      <c r="D116" s="18" t="s">
        <v>210</v>
      </c>
      <c r="E116" s="36">
        <v>46098</v>
      </c>
      <c r="F116" s="185">
        <v>0.6875</v>
      </c>
      <c r="G116" s="199" t="s">
        <v>18</v>
      </c>
      <c r="H116" s="196"/>
      <c r="I116" s="161" t="s">
        <v>186</v>
      </c>
      <c r="J116" s="162" t="s">
        <v>188</v>
      </c>
      <c r="K116" s="3">
        <f t="shared" ref="K116:K127" si="77">WEEKDAY(E116)</f>
        <v>3</v>
      </c>
      <c r="L116">
        <f t="shared" ref="L116:L127" si="78">IF(G116=L$1,1,IF(H116=L$1,1,""))</f>
        <v>1</v>
      </c>
      <c r="M116" s="39">
        <f t="shared" si="68"/>
        <v>85</v>
      </c>
      <c r="N116" s="42">
        <f t="shared" si="71"/>
        <v>10</v>
      </c>
      <c r="O116" s="39">
        <f t="shared" si="74"/>
        <v>0</v>
      </c>
      <c r="P116" s="39">
        <f t="shared" si="74"/>
        <v>75</v>
      </c>
      <c r="Q116" s="39">
        <f t="shared" ref="Q116:Q141" si="79">IF($G116=Q$1,VLOOKUP($J116,$AP:$AQ,2,FALSE),IF($H116=Q$1,70,0))</f>
        <v>0</v>
      </c>
      <c r="R116" s="39">
        <f t="shared" si="75"/>
        <v>0</v>
      </c>
      <c r="S116" s="39">
        <f t="shared" si="75"/>
        <v>0</v>
      </c>
      <c r="T116" s="39">
        <f t="shared" si="75"/>
        <v>0</v>
      </c>
      <c r="U116" s="39">
        <f t="shared" si="75"/>
        <v>0</v>
      </c>
      <c r="V116" s="39">
        <f t="shared" si="75"/>
        <v>0</v>
      </c>
      <c r="W116" s="39">
        <f t="shared" si="75"/>
        <v>0</v>
      </c>
      <c r="X116" s="39">
        <f t="shared" si="75"/>
        <v>0</v>
      </c>
      <c r="Y116" s="39">
        <f t="shared" si="75"/>
        <v>0</v>
      </c>
      <c r="Z116" s="39">
        <f t="shared" si="75"/>
        <v>0</v>
      </c>
      <c r="AA116" s="39">
        <f t="shared" si="75"/>
        <v>0</v>
      </c>
      <c r="AB116" s="39">
        <f t="shared" si="76"/>
        <v>0</v>
      </c>
      <c r="AC116" s="39">
        <f t="shared" si="76"/>
        <v>0</v>
      </c>
      <c r="AD116" s="39">
        <f t="shared" si="76"/>
        <v>0</v>
      </c>
      <c r="AE116" s="39">
        <f t="shared" si="76"/>
        <v>0</v>
      </c>
      <c r="AF116" s="39">
        <f t="shared" si="76"/>
        <v>0</v>
      </c>
      <c r="AG116" s="39">
        <f t="shared" si="76"/>
        <v>0</v>
      </c>
      <c r="AH116" s="39">
        <f t="shared" si="76"/>
        <v>0</v>
      </c>
      <c r="AI116" s="39">
        <f t="shared" si="76"/>
        <v>0</v>
      </c>
      <c r="AJ116" s="39">
        <f t="shared" si="76"/>
        <v>0</v>
      </c>
      <c r="AK116" s="39">
        <f t="shared" si="76"/>
        <v>0</v>
      </c>
      <c r="AL116" s="39">
        <f t="shared" si="76"/>
        <v>0</v>
      </c>
      <c r="AM116" s="39">
        <f t="shared" si="76"/>
        <v>0</v>
      </c>
    </row>
    <row r="117" spans="1:39" x14ac:dyDescent="0.25">
      <c r="A117" s="13" t="s">
        <v>96</v>
      </c>
      <c r="B117" s="14" t="s">
        <v>93</v>
      </c>
      <c r="C117" s="250">
        <v>5</v>
      </c>
      <c r="D117" s="15" t="s">
        <v>210</v>
      </c>
      <c r="E117" s="35">
        <v>46098</v>
      </c>
      <c r="F117" s="184">
        <v>0.79166666666666663</v>
      </c>
      <c r="G117" s="198" t="s">
        <v>21</v>
      </c>
      <c r="H117" s="198" t="s">
        <v>18</v>
      </c>
      <c r="I117" s="159" t="s">
        <v>186</v>
      </c>
      <c r="J117" s="160" t="s">
        <v>190</v>
      </c>
      <c r="K117" s="3">
        <f t="shared" si="77"/>
        <v>3</v>
      </c>
      <c r="L117" t="str">
        <f t="shared" si="78"/>
        <v/>
      </c>
      <c r="M117" s="39">
        <f t="shared" si="68"/>
        <v>165</v>
      </c>
      <c r="N117" s="42">
        <f t="shared" si="71"/>
        <v>20</v>
      </c>
      <c r="O117" s="39">
        <f t="shared" si="74"/>
        <v>0</v>
      </c>
      <c r="P117" s="39">
        <f t="shared" si="74"/>
        <v>70</v>
      </c>
      <c r="Q117" s="39">
        <f t="shared" si="79"/>
        <v>0</v>
      </c>
      <c r="R117" s="39">
        <f t="shared" si="75"/>
        <v>0</v>
      </c>
      <c r="S117" s="39">
        <f t="shared" si="75"/>
        <v>0</v>
      </c>
      <c r="T117" s="39">
        <f t="shared" si="75"/>
        <v>0</v>
      </c>
      <c r="U117" s="39">
        <f t="shared" si="75"/>
        <v>0</v>
      </c>
      <c r="V117" s="39">
        <f t="shared" si="75"/>
        <v>75</v>
      </c>
      <c r="W117" s="39">
        <f t="shared" si="75"/>
        <v>0</v>
      </c>
      <c r="X117" s="39">
        <f t="shared" si="75"/>
        <v>0</v>
      </c>
      <c r="Y117" s="39">
        <f t="shared" si="75"/>
        <v>0</v>
      </c>
      <c r="Z117" s="39">
        <f t="shared" si="75"/>
        <v>0</v>
      </c>
      <c r="AA117" s="39">
        <f t="shared" si="75"/>
        <v>0</v>
      </c>
      <c r="AB117" s="39">
        <f t="shared" si="76"/>
        <v>0</v>
      </c>
      <c r="AC117" s="39">
        <f t="shared" si="76"/>
        <v>0</v>
      </c>
      <c r="AD117" s="39">
        <f t="shared" si="76"/>
        <v>0</v>
      </c>
      <c r="AE117" s="39">
        <f t="shared" si="76"/>
        <v>0</v>
      </c>
      <c r="AF117" s="39">
        <f t="shared" si="76"/>
        <v>0</v>
      </c>
      <c r="AG117" s="39">
        <f t="shared" si="76"/>
        <v>0</v>
      </c>
      <c r="AH117" s="39">
        <f t="shared" si="76"/>
        <v>0</v>
      </c>
      <c r="AI117" s="39">
        <f t="shared" si="76"/>
        <v>0</v>
      </c>
      <c r="AJ117" s="39">
        <f t="shared" si="76"/>
        <v>0</v>
      </c>
      <c r="AK117" s="39">
        <f t="shared" si="76"/>
        <v>0</v>
      </c>
      <c r="AL117" s="39">
        <f t="shared" si="76"/>
        <v>0</v>
      </c>
      <c r="AM117" s="39">
        <f t="shared" si="76"/>
        <v>0</v>
      </c>
    </row>
    <row r="118" spans="1:39" x14ac:dyDescent="0.25">
      <c r="A118" s="19" t="s">
        <v>99</v>
      </c>
      <c r="B118" s="20" t="s">
        <v>94</v>
      </c>
      <c r="C118" s="311">
        <v>5</v>
      </c>
      <c r="D118" s="21" t="s">
        <v>210</v>
      </c>
      <c r="E118" s="34">
        <v>46098</v>
      </c>
      <c r="F118" s="188">
        <v>0.6875</v>
      </c>
      <c r="G118" s="204" t="s">
        <v>28</v>
      </c>
      <c r="H118" s="196"/>
      <c r="I118" s="167" t="s">
        <v>187</v>
      </c>
      <c r="J118" s="168" t="s">
        <v>189</v>
      </c>
      <c r="K118" s="3">
        <f t="shared" si="77"/>
        <v>3</v>
      </c>
      <c r="L118">
        <f t="shared" si="78"/>
        <v>1</v>
      </c>
      <c r="M118" s="39">
        <f t="shared" si="68"/>
        <v>80</v>
      </c>
      <c r="N118" s="42">
        <f t="shared" si="71"/>
        <v>10</v>
      </c>
      <c r="O118" s="39">
        <f t="shared" si="74"/>
        <v>0</v>
      </c>
      <c r="P118" s="39">
        <f t="shared" si="74"/>
        <v>0</v>
      </c>
      <c r="Q118" s="39">
        <f t="shared" si="79"/>
        <v>0</v>
      </c>
      <c r="R118" s="39">
        <f t="shared" si="75"/>
        <v>0</v>
      </c>
      <c r="S118" s="39">
        <f t="shared" si="75"/>
        <v>0</v>
      </c>
      <c r="T118" s="39">
        <f t="shared" si="75"/>
        <v>0</v>
      </c>
      <c r="U118" s="39">
        <f t="shared" si="75"/>
        <v>0</v>
      </c>
      <c r="V118" s="39">
        <f t="shared" si="75"/>
        <v>0</v>
      </c>
      <c r="W118" s="39">
        <f t="shared" si="75"/>
        <v>0</v>
      </c>
      <c r="X118" s="39">
        <f t="shared" si="75"/>
        <v>0</v>
      </c>
      <c r="Y118" s="39">
        <f t="shared" si="75"/>
        <v>0</v>
      </c>
      <c r="Z118" s="39">
        <f t="shared" si="75"/>
        <v>70</v>
      </c>
      <c r="AA118" s="39">
        <f t="shared" si="75"/>
        <v>0</v>
      </c>
      <c r="AB118" s="39">
        <f t="shared" si="76"/>
        <v>0</v>
      </c>
      <c r="AC118" s="39">
        <f t="shared" si="76"/>
        <v>0</v>
      </c>
      <c r="AD118" s="39">
        <f t="shared" si="76"/>
        <v>0</v>
      </c>
      <c r="AE118" s="39">
        <f t="shared" si="76"/>
        <v>0</v>
      </c>
      <c r="AF118" s="39">
        <f t="shared" si="76"/>
        <v>0</v>
      </c>
      <c r="AG118" s="39">
        <f t="shared" si="76"/>
        <v>0</v>
      </c>
      <c r="AH118" s="39">
        <f t="shared" si="76"/>
        <v>0</v>
      </c>
      <c r="AI118" s="39">
        <f t="shared" si="76"/>
        <v>0</v>
      </c>
      <c r="AJ118" s="39">
        <f t="shared" si="76"/>
        <v>0</v>
      </c>
      <c r="AK118" s="39">
        <f t="shared" si="76"/>
        <v>0</v>
      </c>
      <c r="AL118" s="39">
        <f t="shared" si="76"/>
        <v>0</v>
      </c>
      <c r="AM118" s="39">
        <f t="shared" si="76"/>
        <v>0</v>
      </c>
    </row>
    <row r="119" spans="1:39" x14ac:dyDescent="0.25">
      <c r="A119" s="16" t="s">
        <v>89</v>
      </c>
      <c r="B119" s="17" t="s">
        <v>93</v>
      </c>
      <c r="C119" s="259">
        <v>5</v>
      </c>
      <c r="D119" s="18" t="s">
        <v>210</v>
      </c>
      <c r="E119" s="36">
        <v>46098</v>
      </c>
      <c r="F119" s="185">
        <v>0.79166666666666663</v>
      </c>
      <c r="G119" s="199" t="s">
        <v>106</v>
      </c>
      <c r="H119" s="196"/>
      <c r="I119" s="161" t="s">
        <v>187</v>
      </c>
      <c r="J119" s="162" t="s">
        <v>188</v>
      </c>
      <c r="K119" s="3">
        <f t="shared" si="77"/>
        <v>3</v>
      </c>
      <c r="L119">
        <f t="shared" si="78"/>
        <v>1</v>
      </c>
      <c r="M119" s="39">
        <f t="shared" si="68"/>
        <v>85</v>
      </c>
      <c r="N119" s="42">
        <f t="shared" si="71"/>
        <v>10</v>
      </c>
      <c r="O119" s="39">
        <f t="shared" si="74"/>
        <v>0</v>
      </c>
      <c r="P119" s="39">
        <f t="shared" si="74"/>
        <v>0</v>
      </c>
      <c r="Q119" s="39">
        <f t="shared" si="79"/>
        <v>0</v>
      </c>
      <c r="R119" s="39">
        <f t="shared" si="75"/>
        <v>0</v>
      </c>
      <c r="S119" s="39">
        <f t="shared" si="75"/>
        <v>0</v>
      </c>
      <c r="T119" s="39">
        <f t="shared" si="75"/>
        <v>0</v>
      </c>
      <c r="U119" s="39">
        <f t="shared" si="75"/>
        <v>0</v>
      </c>
      <c r="V119" s="39">
        <f t="shared" si="75"/>
        <v>0</v>
      </c>
      <c r="W119" s="39">
        <f t="shared" si="75"/>
        <v>0</v>
      </c>
      <c r="X119" s="39">
        <f t="shared" si="75"/>
        <v>0</v>
      </c>
      <c r="Y119" s="39">
        <f t="shared" si="75"/>
        <v>0</v>
      </c>
      <c r="Z119" s="39">
        <f t="shared" si="75"/>
        <v>0</v>
      </c>
      <c r="AA119" s="39">
        <f t="shared" si="75"/>
        <v>0</v>
      </c>
      <c r="AB119" s="39">
        <f t="shared" si="76"/>
        <v>0</v>
      </c>
      <c r="AC119" s="39">
        <f t="shared" si="76"/>
        <v>75</v>
      </c>
      <c r="AD119" s="39">
        <f t="shared" si="76"/>
        <v>0</v>
      </c>
      <c r="AE119" s="39">
        <f t="shared" si="76"/>
        <v>0</v>
      </c>
      <c r="AF119" s="39">
        <f t="shared" si="76"/>
        <v>0</v>
      </c>
      <c r="AG119" s="39">
        <f t="shared" si="76"/>
        <v>0</v>
      </c>
      <c r="AH119" s="39">
        <f t="shared" si="76"/>
        <v>0</v>
      </c>
      <c r="AI119" s="39">
        <f t="shared" si="76"/>
        <v>0</v>
      </c>
      <c r="AJ119" s="39">
        <f t="shared" si="76"/>
        <v>0</v>
      </c>
      <c r="AK119" s="39">
        <f t="shared" si="76"/>
        <v>0</v>
      </c>
      <c r="AL119" s="39">
        <f t="shared" si="76"/>
        <v>0</v>
      </c>
      <c r="AM119" s="39">
        <f t="shared" si="76"/>
        <v>0</v>
      </c>
    </row>
    <row r="120" spans="1:39" x14ac:dyDescent="0.25">
      <c r="A120" s="49" t="s">
        <v>97</v>
      </c>
      <c r="B120" s="50" t="s">
        <v>89</v>
      </c>
      <c r="C120" s="233">
        <v>5</v>
      </c>
      <c r="D120" s="51" t="s">
        <v>210</v>
      </c>
      <c r="E120" s="52">
        <v>46099</v>
      </c>
      <c r="F120" s="182">
        <v>0.6875</v>
      </c>
      <c r="G120" s="197" t="s">
        <v>18</v>
      </c>
      <c r="H120" s="197" t="s">
        <v>104</v>
      </c>
      <c r="I120" s="155" t="s">
        <v>186</v>
      </c>
      <c r="J120" s="156" t="s">
        <v>190</v>
      </c>
      <c r="K120" s="3">
        <f t="shared" si="77"/>
        <v>4</v>
      </c>
      <c r="L120" t="str">
        <f t="shared" si="78"/>
        <v/>
      </c>
      <c r="M120" s="39">
        <f t="shared" si="68"/>
        <v>165</v>
      </c>
      <c r="N120" s="42">
        <f t="shared" si="71"/>
        <v>20</v>
      </c>
      <c r="O120" s="39">
        <f t="shared" si="74"/>
        <v>0</v>
      </c>
      <c r="P120" s="39">
        <f t="shared" si="74"/>
        <v>75</v>
      </c>
      <c r="Q120" s="39">
        <f t="shared" si="79"/>
        <v>0</v>
      </c>
      <c r="R120" s="39">
        <f t="shared" si="75"/>
        <v>0</v>
      </c>
      <c r="S120" s="39">
        <f t="shared" si="75"/>
        <v>0</v>
      </c>
      <c r="T120" s="39">
        <f t="shared" si="75"/>
        <v>0</v>
      </c>
      <c r="U120" s="39">
        <f t="shared" si="75"/>
        <v>70</v>
      </c>
      <c r="V120" s="39">
        <f t="shared" si="75"/>
        <v>0</v>
      </c>
      <c r="W120" s="39">
        <f t="shared" si="75"/>
        <v>0</v>
      </c>
      <c r="X120" s="39">
        <f t="shared" si="75"/>
        <v>0</v>
      </c>
      <c r="Y120" s="39">
        <f t="shared" si="75"/>
        <v>0</v>
      </c>
      <c r="Z120" s="39">
        <f t="shared" si="75"/>
        <v>0</v>
      </c>
      <c r="AA120" s="39">
        <f t="shared" si="75"/>
        <v>0</v>
      </c>
      <c r="AB120" s="39">
        <f t="shared" si="76"/>
        <v>0</v>
      </c>
      <c r="AC120" s="39">
        <f t="shared" si="76"/>
        <v>0</v>
      </c>
      <c r="AD120" s="39">
        <f t="shared" si="76"/>
        <v>0</v>
      </c>
      <c r="AE120" s="39">
        <f t="shared" si="76"/>
        <v>0</v>
      </c>
      <c r="AF120" s="39">
        <f t="shared" si="76"/>
        <v>0</v>
      </c>
      <c r="AG120" s="39">
        <f t="shared" si="76"/>
        <v>0</v>
      </c>
      <c r="AH120" s="39">
        <f t="shared" si="76"/>
        <v>0</v>
      </c>
      <c r="AI120" s="39">
        <f t="shared" si="76"/>
        <v>0</v>
      </c>
      <c r="AJ120" s="39">
        <f t="shared" si="76"/>
        <v>0</v>
      </c>
      <c r="AK120" s="39">
        <f t="shared" si="76"/>
        <v>0</v>
      </c>
      <c r="AL120" s="39">
        <f t="shared" si="76"/>
        <v>0</v>
      </c>
      <c r="AM120" s="39">
        <f t="shared" si="76"/>
        <v>0</v>
      </c>
    </row>
    <row r="121" spans="1:39" x14ac:dyDescent="0.25">
      <c r="A121" s="53" t="s">
        <v>98</v>
      </c>
      <c r="B121" s="54" t="s">
        <v>100</v>
      </c>
      <c r="C121" s="320">
        <v>5</v>
      </c>
      <c r="D121" s="55" t="s">
        <v>210</v>
      </c>
      <c r="E121" s="56">
        <v>46099</v>
      </c>
      <c r="F121" s="189">
        <v>0.6875</v>
      </c>
      <c r="G121" s="205" t="s">
        <v>28</v>
      </c>
      <c r="H121" s="196"/>
      <c r="I121" s="169" t="s">
        <v>187</v>
      </c>
      <c r="J121" s="170" t="s">
        <v>189</v>
      </c>
      <c r="K121" s="3">
        <f t="shared" si="77"/>
        <v>4</v>
      </c>
      <c r="L121">
        <f t="shared" si="78"/>
        <v>1</v>
      </c>
      <c r="M121" s="39">
        <f t="shared" si="68"/>
        <v>80</v>
      </c>
      <c r="N121" s="42">
        <f t="shared" si="71"/>
        <v>10</v>
      </c>
      <c r="O121" s="39">
        <f t="shared" si="74"/>
        <v>0</v>
      </c>
      <c r="P121" s="39">
        <f t="shared" si="74"/>
        <v>0</v>
      </c>
      <c r="Q121" s="39">
        <f t="shared" si="79"/>
        <v>0</v>
      </c>
      <c r="R121" s="39">
        <f t="shared" si="75"/>
        <v>0</v>
      </c>
      <c r="S121" s="39">
        <f t="shared" si="75"/>
        <v>0</v>
      </c>
      <c r="T121" s="39">
        <f t="shared" si="75"/>
        <v>0</v>
      </c>
      <c r="U121" s="39">
        <f t="shared" si="75"/>
        <v>0</v>
      </c>
      <c r="V121" s="39">
        <f t="shared" si="75"/>
        <v>0</v>
      </c>
      <c r="W121" s="39">
        <f t="shared" si="75"/>
        <v>0</v>
      </c>
      <c r="X121" s="39">
        <f t="shared" si="75"/>
        <v>0</v>
      </c>
      <c r="Y121" s="39">
        <f t="shared" si="75"/>
        <v>0</v>
      </c>
      <c r="Z121" s="39">
        <f t="shared" si="75"/>
        <v>70</v>
      </c>
      <c r="AA121" s="39">
        <f t="shared" si="75"/>
        <v>0</v>
      </c>
      <c r="AB121" s="39">
        <f t="shared" si="76"/>
        <v>0</v>
      </c>
      <c r="AC121" s="39">
        <f t="shared" si="76"/>
        <v>0</v>
      </c>
      <c r="AD121" s="39">
        <f t="shared" si="76"/>
        <v>0</v>
      </c>
      <c r="AE121" s="39">
        <f t="shared" si="76"/>
        <v>0</v>
      </c>
      <c r="AF121" s="39">
        <f t="shared" si="76"/>
        <v>0</v>
      </c>
      <c r="AG121" s="39">
        <f t="shared" si="76"/>
        <v>0</v>
      </c>
      <c r="AH121" s="39">
        <f t="shared" si="76"/>
        <v>0</v>
      </c>
      <c r="AI121" s="39">
        <f t="shared" si="76"/>
        <v>0</v>
      </c>
      <c r="AJ121" s="39">
        <f t="shared" si="76"/>
        <v>0</v>
      </c>
      <c r="AK121" s="39">
        <f t="shared" si="76"/>
        <v>0</v>
      </c>
      <c r="AL121" s="39">
        <f t="shared" si="76"/>
        <v>0</v>
      </c>
      <c r="AM121" s="39">
        <f t="shared" si="76"/>
        <v>0</v>
      </c>
    </row>
    <row r="122" spans="1:39" x14ac:dyDescent="0.25">
      <c r="A122" s="19" t="s">
        <v>92</v>
      </c>
      <c r="B122" s="20" t="s">
        <v>89</v>
      </c>
      <c r="C122" s="311">
        <v>5</v>
      </c>
      <c r="D122" s="21" t="s">
        <v>210</v>
      </c>
      <c r="E122" s="34">
        <v>46100</v>
      </c>
      <c r="F122" s="188">
        <v>0.6875</v>
      </c>
      <c r="G122" s="204" t="s">
        <v>106</v>
      </c>
      <c r="H122" s="196"/>
      <c r="I122" s="167" t="s">
        <v>186</v>
      </c>
      <c r="J122" s="168" t="s">
        <v>189</v>
      </c>
      <c r="K122" s="3">
        <f t="shared" si="77"/>
        <v>5</v>
      </c>
      <c r="L122">
        <f t="shared" si="78"/>
        <v>1</v>
      </c>
      <c r="M122" s="39">
        <f t="shared" si="68"/>
        <v>80</v>
      </c>
      <c r="N122" s="42">
        <f t="shared" si="71"/>
        <v>10</v>
      </c>
      <c r="O122" s="39">
        <f t="shared" si="74"/>
        <v>0</v>
      </c>
      <c r="P122" s="39">
        <f t="shared" si="74"/>
        <v>0</v>
      </c>
      <c r="Q122" s="39">
        <f t="shared" si="79"/>
        <v>0</v>
      </c>
      <c r="R122" s="39">
        <f t="shared" si="75"/>
        <v>0</v>
      </c>
      <c r="S122" s="39">
        <f t="shared" si="75"/>
        <v>0</v>
      </c>
      <c r="T122" s="39">
        <f t="shared" si="75"/>
        <v>0</v>
      </c>
      <c r="U122" s="39">
        <f t="shared" si="75"/>
        <v>0</v>
      </c>
      <c r="V122" s="39">
        <f t="shared" si="75"/>
        <v>0</v>
      </c>
      <c r="W122" s="39">
        <f t="shared" si="75"/>
        <v>0</v>
      </c>
      <c r="X122" s="39">
        <f t="shared" si="75"/>
        <v>0</v>
      </c>
      <c r="Y122" s="39">
        <f t="shared" si="75"/>
        <v>0</v>
      </c>
      <c r="Z122" s="39">
        <f t="shared" si="75"/>
        <v>0</v>
      </c>
      <c r="AA122" s="39">
        <f t="shared" si="75"/>
        <v>0</v>
      </c>
      <c r="AB122" s="39">
        <f t="shared" si="76"/>
        <v>0</v>
      </c>
      <c r="AC122" s="39">
        <f t="shared" si="76"/>
        <v>70</v>
      </c>
      <c r="AD122" s="39">
        <f t="shared" si="76"/>
        <v>0</v>
      </c>
      <c r="AE122" s="39">
        <f t="shared" si="76"/>
        <v>0</v>
      </c>
      <c r="AF122" s="39">
        <f t="shared" si="76"/>
        <v>0</v>
      </c>
      <c r="AG122" s="39">
        <f t="shared" si="76"/>
        <v>0</v>
      </c>
      <c r="AH122" s="39">
        <f t="shared" si="76"/>
        <v>0</v>
      </c>
      <c r="AI122" s="39">
        <f t="shared" si="76"/>
        <v>0</v>
      </c>
      <c r="AJ122" s="39">
        <f t="shared" si="76"/>
        <v>0</v>
      </c>
      <c r="AK122" s="39">
        <f t="shared" si="76"/>
        <v>0</v>
      </c>
      <c r="AL122" s="39">
        <f t="shared" si="76"/>
        <v>0</v>
      </c>
      <c r="AM122" s="39">
        <f t="shared" si="76"/>
        <v>0</v>
      </c>
    </row>
    <row r="123" spans="1:39" x14ac:dyDescent="0.25">
      <c r="A123" s="13" t="s">
        <v>94</v>
      </c>
      <c r="B123" s="14" t="s">
        <v>92</v>
      </c>
      <c r="C123" s="250">
        <v>5</v>
      </c>
      <c r="D123" s="15" t="s">
        <v>210</v>
      </c>
      <c r="E123" s="35">
        <v>46100</v>
      </c>
      <c r="F123" s="184">
        <v>0.79166666666666663</v>
      </c>
      <c r="G123" s="198" t="s">
        <v>19</v>
      </c>
      <c r="H123" s="198" t="s">
        <v>24</v>
      </c>
      <c r="I123" s="159" t="s">
        <v>186</v>
      </c>
      <c r="J123" s="160" t="s">
        <v>190</v>
      </c>
      <c r="K123" s="3">
        <f t="shared" si="77"/>
        <v>5</v>
      </c>
      <c r="L123" t="str">
        <f t="shared" si="78"/>
        <v/>
      </c>
      <c r="M123" s="39">
        <f t="shared" si="68"/>
        <v>165</v>
      </c>
      <c r="N123" s="42">
        <f t="shared" si="71"/>
        <v>20</v>
      </c>
      <c r="O123" s="39">
        <f t="shared" si="74"/>
        <v>75</v>
      </c>
      <c r="P123" s="39">
        <f t="shared" si="74"/>
        <v>0</v>
      </c>
      <c r="Q123" s="39">
        <f t="shared" si="79"/>
        <v>0</v>
      </c>
      <c r="R123" s="39">
        <f t="shared" si="75"/>
        <v>70</v>
      </c>
      <c r="S123" s="39">
        <f t="shared" si="75"/>
        <v>0</v>
      </c>
      <c r="T123" s="39">
        <f t="shared" si="75"/>
        <v>0</v>
      </c>
      <c r="U123" s="39">
        <f t="shared" si="75"/>
        <v>0</v>
      </c>
      <c r="V123" s="39">
        <f t="shared" si="75"/>
        <v>0</v>
      </c>
      <c r="W123" s="39">
        <f t="shared" si="75"/>
        <v>0</v>
      </c>
      <c r="X123" s="39">
        <f t="shared" si="75"/>
        <v>0</v>
      </c>
      <c r="Y123" s="39">
        <f t="shared" si="75"/>
        <v>0</v>
      </c>
      <c r="Z123" s="39">
        <f t="shared" si="75"/>
        <v>0</v>
      </c>
      <c r="AA123" s="39">
        <f t="shared" si="75"/>
        <v>0</v>
      </c>
      <c r="AB123" s="39">
        <f t="shared" si="76"/>
        <v>0</v>
      </c>
      <c r="AC123" s="39">
        <f t="shared" si="76"/>
        <v>0</v>
      </c>
      <c r="AD123" s="39">
        <f t="shared" si="76"/>
        <v>0</v>
      </c>
      <c r="AE123" s="39">
        <f t="shared" si="76"/>
        <v>0</v>
      </c>
      <c r="AF123" s="39">
        <f t="shared" si="76"/>
        <v>0</v>
      </c>
      <c r="AG123" s="39">
        <f t="shared" si="76"/>
        <v>0</v>
      </c>
      <c r="AH123" s="39">
        <f t="shared" si="76"/>
        <v>0</v>
      </c>
      <c r="AI123" s="39">
        <f t="shared" si="76"/>
        <v>0</v>
      </c>
      <c r="AJ123" s="39">
        <f t="shared" si="76"/>
        <v>0</v>
      </c>
      <c r="AK123" s="39">
        <f t="shared" si="76"/>
        <v>0</v>
      </c>
      <c r="AL123" s="39">
        <f t="shared" si="76"/>
        <v>0</v>
      </c>
      <c r="AM123" s="39">
        <f t="shared" si="76"/>
        <v>0</v>
      </c>
    </row>
    <row r="124" spans="1:39" x14ac:dyDescent="0.25">
      <c r="A124" s="19" t="s">
        <v>90</v>
      </c>
      <c r="B124" s="20" t="s">
        <v>101</v>
      </c>
      <c r="C124" s="311">
        <v>5</v>
      </c>
      <c r="D124" s="21" t="s">
        <v>210</v>
      </c>
      <c r="E124" s="34">
        <v>46100</v>
      </c>
      <c r="F124" s="188">
        <v>0.6875</v>
      </c>
      <c r="G124" s="204" t="s">
        <v>75</v>
      </c>
      <c r="H124" s="196"/>
      <c r="I124" s="167" t="s">
        <v>187</v>
      </c>
      <c r="J124" s="168" t="s">
        <v>189</v>
      </c>
      <c r="K124" s="3">
        <f t="shared" si="77"/>
        <v>5</v>
      </c>
      <c r="L124">
        <f t="shared" si="78"/>
        <v>1</v>
      </c>
      <c r="M124" s="39">
        <f t="shared" si="68"/>
        <v>80</v>
      </c>
      <c r="N124" s="42">
        <f t="shared" si="71"/>
        <v>10</v>
      </c>
      <c r="O124" s="39">
        <f t="shared" si="74"/>
        <v>0</v>
      </c>
      <c r="P124" s="39">
        <f t="shared" si="74"/>
        <v>0</v>
      </c>
      <c r="Q124" s="39">
        <f t="shared" si="79"/>
        <v>0</v>
      </c>
      <c r="R124" s="39">
        <f t="shared" si="75"/>
        <v>0</v>
      </c>
      <c r="S124" s="39">
        <f t="shared" si="75"/>
        <v>0</v>
      </c>
      <c r="T124" s="39">
        <f t="shared" si="75"/>
        <v>0</v>
      </c>
      <c r="U124" s="39">
        <f t="shared" si="75"/>
        <v>0</v>
      </c>
      <c r="V124" s="39">
        <f t="shared" si="75"/>
        <v>0</v>
      </c>
      <c r="W124" s="39">
        <f t="shared" si="75"/>
        <v>0</v>
      </c>
      <c r="X124" s="39">
        <f t="shared" si="75"/>
        <v>0</v>
      </c>
      <c r="Y124" s="39">
        <f t="shared" si="75"/>
        <v>0</v>
      </c>
      <c r="Z124" s="39">
        <f t="shared" si="75"/>
        <v>0</v>
      </c>
      <c r="AA124" s="39">
        <f t="shared" si="75"/>
        <v>0</v>
      </c>
      <c r="AB124" s="39">
        <f t="shared" si="76"/>
        <v>70</v>
      </c>
      <c r="AC124" s="39">
        <f t="shared" si="76"/>
        <v>0</v>
      </c>
      <c r="AD124" s="39">
        <f t="shared" si="76"/>
        <v>0</v>
      </c>
      <c r="AE124" s="39">
        <f t="shared" si="76"/>
        <v>0</v>
      </c>
      <c r="AF124" s="39">
        <f t="shared" si="76"/>
        <v>0</v>
      </c>
      <c r="AG124" s="39">
        <f t="shared" si="76"/>
        <v>0</v>
      </c>
      <c r="AH124" s="39">
        <f t="shared" si="76"/>
        <v>0</v>
      </c>
      <c r="AI124" s="39">
        <f t="shared" si="76"/>
        <v>0</v>
      </c>
      <c r="AJ124" s="39">
        <f t="shared" si="76"/>
        <v>0</v>
      </c>
      <c r="AK124" s="39">
        <f t="shared" si="76"/>
        <v>0</v>
      </c>
      <c r="AL124" s="39">
        <f t="shared" si="76"/>
        <v>0</v>
      </c>
      <c r="AM124" s="39">
        <f t="shared" si="76"/>
        <v>0</v>
      </c>
    </row>
    <row r="125" spans="1:39" x14ac:dyDescent="0.25">
      <c r="A125" s="16" t="s">
        <v>96</v>
      </c>
      <c r="B125" s="17" t="s">
        <v>92</v>
      </c>
      <c r="C125" s="259">
        <v>5</v>
      </c>
      <c r="D125" s="18" t="s">
        <v>210</v>
      </c>
      <c r="E125" s="36">
        <v>46100</v>
      </c>
      <c r="F125" s="185">
        <v>0.79166666666666663</v>
      </c>
      <c r="G125" s="199" t="s">
        <v>20</v>
      </c>
      <c r="H125" s="196"/>
      <c r="I125" s="161" t="s">
        <v>187</v>
      </c>
      <c r="J125" s="162" t="s">
        <v>188</v>
      </c>
      <c r="K125" s="3">
        <f t="shared" si="77"/>
        <v>5</v>
      </c>
      <c r="L125">
        <f t="shared" si="78"/>
        <v>1</v>
      </c>
      <c r="M125" s="39">
        <f t="shared" si="68"/>
        <v>85</v>
      </c>
      <c r="N125" s="42">
        <f t="shared" si="71"/>
        <v>10</v>
      </c>
      <c r="O125" s="39">
        <f t="shared" si="74"/>
        <v>0</v>
      </c>
      <c r="P125" s="39">
        <f t="shared" si="74"/>
        <v>0</v>
      </c>
      <c r="Q125" s="39">
        <f t="shared" si="79"/>
        <v>0</v>
      </c>
      <c r="R125" s="39">
        <f t="shared" ref="R125:AA134" si="80">IF($G125=R$1,VLOOKUP($J125,$AP:$AQ,2,FALSE),IF($H125=R$1,70,0))</f>
        <v>0</v>
      </c>
      <c r="S125" s="39">
        <f t="shared" si="80"/>
        <v>75</v>
      </c>
      <c r="T125" s="39">
        <f t="shared" si="80"/>
        <v>0</v>
      </c>
      <c r="U125" s="39">
        <f t="shared" si="80"/>
        <v>0</v>
      </c>
      <c r="V125" s="39">
        <f t="shared" si="80"/>
        <v>0</v>
      </c>
      <c r="W125" s="39">
        <f t="shared" si="80"/>
        <v>0</v>
      </c>
      <c r="X125" s="39">
        <f t="shared" si="80"/>
        <v>0</v>
      </c>
      <c r="Y125" s="39">
        <f t="shared" si="80"/>
        <v>0</v>
      </c>
      <c r="Z125" s="39">
        <f t="shared" si="80"/>
        <v>0</v>
      </c>
      <c r="AA125" s="39">
        <f t="shared" si="80"/>
        <v>0</v>
      </c>
      <c r="AB125" s="39">
        <f t="shared" ref="AB125:AM134" si="81">IF($G125=AB$1,VLOOKUP($J125,$AP:$AQ,2,FALSE),IF($H125=AB$1,70,0))</f>
        <v>0</v>
      </c>
      <c r="AC125" s="39">
        <f t="shared" si="81"/>
        <v>0</v>
      </c>
      <c r="AD125" s="39">
        <f t="shared" si="81"/>
        <v>0</v>
      </c>
      <c r="AE125" s="39">
        <f t="shared" si="81"/>
        <v>0</v>
      </c>
      <c r="AF125" s="39">
        <f t="shared" si="81"/>
        <v>0</v>
      </c>
      <c r="AG125" s="39">
        <f t="shared" si="81"/>
        <v>0</v>
      </c>
      <c r="AH125" s="39">
        <f t="shared" si="81"/>
        <v>0</v>
      </c>
      <c r="AI125" s="39">
        <f t="shared" si="81"/>
        <v>0</v>
      </c>
      <c r="AJ125" s="39">
        <f t="shared" si="81"/>
        <v>0</v>
      </c>
      <c r="AK125" s="39">
        <f t="shared" si="81"/>
        <v>0</v>
      </c>
      <c r="AL125" s="39">
        <f t="shared" si="81"/>
        <v>0</v>
      </c>
      <c r="AM125" s="39">
        <f t="shared" si="81"/>
        <v>0</v>
      </c>
    </row>
    <row r="126" spans="1:39" x14ac:dyDescent="0.25">
      <c r="A126" s="53" t="s">
        <v>97</v>
      </c>
      <c r="B126" s="54" t="s">
        <v>93</v>
      </c>
      <c r="C126" s="320">
        <v>5</v>
      </c>
      <c r="D126" s="55" t="s">
        <v>210</v>
      </c>
      <c r="E126" s="56">
        <v>46101</v>
      </c>
      <c r="F126" s="189">
        <v>0.70833333333333337</v>
      </c>
      <c r="G126" s="205" t="s">
        <v>20</v>
      </c>
      <c r="H126" s="196"/>
      <c r="I126" s="169" t="s">
        <v>186</v>
      </c>
      <c r="J126" s="170" t="s">
        <v>189</v>
      </c>
      <c r="K126" s="3">
        <f t="shared" si="77"/>
        <v>6</v>
      </c>
      <c r="L126">
        <f t="shared" si="78"/>
        <v>1</v>
      </c>
      <c r="M126" s="39">
        <f t="shared" si="68"/>
        <v>80</v>
      </c>
      <c r="N126" s="42">
        <f t="shared" si="71"/>
        <v>10</v>
      </c>
      <c r="O126" s="39">
        <f t="shared" si="74"/>
        <v>0</v>
      </c>
      <c r="P126" s="39">
        <f t="shared" si="74"/>
        <v>0</v>
      </c>
      <c r="Q126" s="39">
        <f t="shared" si="79"/>
        <v>0</v>
      </c>
      <c r="R126" s="39">
        <f t="shared" si="80"/>
        <v>0</v>
      </c>
      <c r="S126" s="39">
        <f t="shared" si="80"/>
        <v>70</v>
      </c>
      <c r="T126" s="39">
        <f t="shared" si="80"/>
        <v>0</v>
      </c>
      <c r="U126" s="39">
        <f t="shared" si="80"/>
        <v>0</v>
      </c>
      <c r="V126" s="39">
        <f t="shared" si="80"/>
        <v>0</v>
      </c>
      <c r="W126" s="39">
        <f t="shared" si="80"/>
        <v>0</v>
      </c>
      <c r="X126" s="39">
        <f t="shared" si="80"/>
        <v>0</v>
      </c>
      <c r="Y126" s="39">
        <f t="shared" si="80"/>
        <v>0</v>
      </c>
      <c r="Z126" s="39">
        <f t="shared" si="80"/>
        <v>0</v>
      </c>
      <c r="AA126" s="39">
        <f t="shared" si="80"/>
        <v>0</v>
      </c>
      <c r="AB126" s="39">
        <f t="shared" si="81"/>
        <v>0</v>
      </c>
      <c r="AC126" s="39">
        <f t="shared" si="81"/>
        <v>0</v>
      </c>
      <c r="AD126" s="39">
        <f t="shared" si="81"/>
        <v>0</v>
      </c>
      <c r="AE126" s="39">
        <f t="shared" si="81"/>
        <v>0</v>
      </c>
      <c r="AF126" s="39">
        <f t="shared" si="81"/>
        <v>0</v>
      </c>
      <c r="AG126" s="39">
        <f t="shared" si="81"/>
        <v>0</v>
      </c>
      <c r="AH126" s="39">
        <f t="shared" si="81"/>
        <v>0</v>
      </c>
      <c r="AI126" s="39">
        <f t="shared" si="81"/>
        <v>0</v>
      </c>
      <c r="AJ126" s="39">
        <f t="shared" si="81"/>
        <v>0</v>
      </c>
      <c r="AK126" s="39">
        <f t="shared" si="81"/>
        <v>0</v>
      </c>
      <c r="AL126" s="39">
        <f t="shared" si="81"/>
        <v>0</v>
      </c>
      <c r="AM126" s="39">
        <f t="shared" si="81"/>
        <v>0</v>
      </c>
    </row>
    <row r="127" spans="1:39" x14ac:dyDescent="0.25">
      <c r="A127" s="53" t="s">
        <v>95</v>
      </c>
      <c r="B127" s="54" t="s">
        <v>96</v>
      </c>
      <c r="C127" s="320">
        <v>5</v>
      </c>
      <c r="D127" s="55" t="s">
        <v>210</v>
      </c>
      <c r="E127" s="56">
        <v>46101</v>
      </c>
      <c r="F127" s="189">
        <v>0.70833333333333337</v>
      </c>
      <c r="G127" s="205" t="s">
        <v>106</v>
      </c>
      <c r="H127" s="196"/>
      <c r="I127" s="169" t="s">
        <v>187</v>
      </c>
      <c r="J127" s="170" t="s">
        <v>189</v>
      </c>
      <c r="K127" s="3">
        <f t="shared" si="77"/>
        <v>6</v>
      </c>
      <c r="L127">
        <f t="shared" si="78"/>
        <v>1</v>
      </c>
      <c r="M127" s="39">
        <f t="shared" si="68"/>
        <v>80</v>
      </c>
      <c r="N127" s="42">
        <f t="shared" si="71"/>
        <v>10</v>
      </c>
      <c r="O127" s="39">
        <f t="shared" si="74"/>
        <v>0</v>
      </c>
      <c r="P127" s="39">
        <f t="shared" si="74"/>
        <v>0</v>
      </c>
      <c r="Q127" s="39">
        <f t="shared" si="79"/>
        <v>0</v>
      </c>
      <c r="R127" s="39">
        <f t="shared" si="80"/>
        <v>0</v>
      </c>
      <c r="S127" s="39">
        <f t="shared" si="80"/>
        <v>0</v>
      </c>
      <c r="T127" s="39">
        <f t="shared" si="80"/>
        <v>0</v>
      </c>
      <c r="U127" s="39">
        <f t="shared" si="80"/>
        <v>0</v>
      </c>
      <c r="V127" s="39">
        <f t="shared" si="80"/>
        <v>0</v>
      </c>
      <c r="W127" s="39">
        <f t="shared" si="80"/>
        <v>0</v>
      </c>
      <c r="X127" s="39">
        <f t="shared" si="80"/>
        <v>0</v>
      </c>
      <c r="Y127" s="39">
        <f t="shared" si="80"/>
        <v>0</v>
      </c>
      <c r="Z127" s="39">
        <f t="shared" si="80"/>
        <v>0</v>
      </c>
      <c r="AA127" s="39">
        <f t="shared" si="80"/>
        <v>0</v>
      </c>
      <c r="AB127" s="39">
        <f t="shared" si="81"/>
        <v>0</v>
      </c>
      <c r="AC127" s="39">
        <f t="shared" si="81"/>
        <v>70</v>
      </c>
      <c r="AD127" s="39">
        <f t="shared" si="81"/>
        <v>0</v>
      </c>
      <c r="AE127" s="39">
        <f t="shared" si="81"/>
        <v>0</v>
      </c>
      <c r="AF127" s="39">
        <f t="shared" si="81"/>
        <v>0</v>
      </c>
      <c r="AG127" s="39">
        <f t="shared" si="81"/>
        <v>0</v>
      </c>
      <c r="AH127" s="39">
        <f t="shared" si="81"/>
        <v>0</v>
      </c>
      <c r="AI127" s="39">
        <f t="shared" si="81"/>
        <v>0</v>
      </c>
      <c r="AJ127" s="39">
        <f t="shared" si="81"/>
        <v>0</v>
      </c>
      <c r="AK127" s="39">
        <f t="shared" si="81"/>
        <v>0</v>
      </c>
      <c r="AL127" s="39">
        <f t="shared" si="81"/>
        <v>0</v>
      </c>
      <c r="AM127" s="39">
        <f t="shared" si="81"/>
        <v>0</v>
      </c>
    </row>
    <row r="128" spans="1:39" x14ac:dyDescent="0.25">
      <c r="A128" s="16" t="s">
        <v>97</v>
      </c>
      <c r="B128" s="17" t="s">
        <v>94</v>
      </c>
      <c r="C128" s="259">
        <v>5</v>
      </c>
      <c r="D128" s="18" t="s">
        <v>210</v>
      </c>
      <c r="E128" s="36">
        <v>46102</v>
      </c>
      <c r="F128" s="185">
        <v>0.375</v>
      </c>
      <c r="G128" s="206" t="s">
        <v>19</v>
      </c>
      <c r="H128" s="207"/>
      <c r="I128" s="171" t="s">
        <v>186</v>
      </c>
      <c r="J128" s="162" t="s">
        <v>188</v>
      </c>
      <c r="K128" s="3">
        <f t="shared" ref="K128:K131" si="82">WEEKDAY(E128)</f>
        <v>7</v>
      </c>
      <c r="L128">
        <f t="shared" ref="L128:L131" si="83">IF(G128=L$1,1,IF(H128=L$1,1,""))</f>
        <v>1</v>
      </c>
      <c r="M128" s="39">
        <f t="shared" si="68"/>
        <v>85</v>
      </c>
      <c r="N128" s="42">
        <f t="shared" si="71"/>
        <v>10</v>
      </c>
      <c r="O128" s="39">
        <f t="shared" si="74"/>
        <v>75</v>
      </c>
      <c r="P128" s="39">
        <f t="shared" si="74"/>
        <v>0</v>
      </c>
      <c r="Q128" s="39">
        <f t="shared" si="79"/>
        <v>0</v>
      </c>
      <c r="R128" s="39">
        <f t="shared" si="80"/>
        <v>0</v>
      </c>
      <c r="S128" s="39">
        <f t="shared" si="80"/>
        <v>0</v>
      </c>
      <c r="T128" s="39">
        <f t="shared" si="80"/>
        <v>0</v>
      </c>
      <c r="U128" s="39">
        <f t="shared" si="80"/>
        <v>0</v>
      </c>
      <c r="V128" s="39">
        <f t="shared" si="80"/>
        <v>0</v>
      </c>
      <c r="W128" s="39">
        <f t="shared" si="80"/>
        <v>0</v>
      </c>
      <c r="X128" s="39">
        <f t="shared" si="80"/>
        <v>0</v>
      </c>
      <c r="Y128" s="39">
        <f t="shared" si="80"/>
        <v>0</v>
      </c>
      <c r="Z128" s="39">
        <f t="shared" si="80"/>
        <v>0</v>
      </c>
      <c r="AA128" s="39">
        <f t="shared" si="80"/>
        <v>0</v>
      </c>
      <c r="AB128" s="39">
        <f t="shared" si="81"/>
        <v>0</v>
      </c>
      <c r="AC128" s="39">
        <f t="shared" si="81"/>
        <v>0</v>
      </c>
      <c r="AD128" s="39">
        <f t="shared" si="81"/>
        <v>0</v>
      </c>
      <c r="AE128" s="39">
        <f t="shared" si="81"/>
        <v>0</v>
      </c>
      <c r="AF128" s="39">
        <f t="shared" si="81"/>
        <v>0</v>
      </c>
      <c r="AG128" s="39">
        <f t="shared" si="81"/>
        <v>0</v>
      </c>
      <c r="AH128" s="39">
        <f t="shared" si="81"/>
        <v>0</v>
      </c>
      <c r="AI128" s="39">
        <f t="shared" si="81"/>
        <v>0</v>
      </c>
      <c r="AJ128" s="39">
        <f t="shared" si="81"/>
        <v>0</v>
      </c>
      <c r="AK128" s="39">
        <f t="shared" si="81"/>
        <v>0</v>
      </c>
      <c r="AL128" s="39">
        <f t="shared" si="81"/>
        <v>0</v>
      </c>
      <c r="AM128" s="39">
        <f t="shared" si="81"/>
        <v>0</v>
      </c>
    </row>
    <row r="129" spans="1:41" x14ac:dyDescent="0.25">
      <c r="A129" s="71" t="s">
        <v>97</v>
      </c>
      <c r="B129" s="72" t="s">
        <v>94</v>
      </c>
      <c r="C129" s="332">
        <v>5</v>
      </c>
      <c r="D129" s="69" t="s">
        <v>210</v>
      </c>
      <c r="E129" s="35">
        <v>46102</v>
      </c>
      <c r="F129" s="184">
        <v>0.47916666666666669</v>
      </c>
      <c r="G129" s="201" t="s">
        <v>19</v>
      </c>
      <c r="H129" s="201" t="s">
        <v>20</v>
      </c>
      <c r="I129" s="172" t="s">
        <v>186</v>
      </c>
      <c r="J129" s="173" t="s">
        <v>190</v>
      </c>
      <c r="K129" s="3">
        <f t="shared" si="82"/>
        <v>7</v>
      </c>
      <c r="L129" t="str">
        <f t="shared" si="83"/>
        <v/>
      </c>
      <c r="M129" s="39">
        <f t="shared" si="68"/>
        <v>165</v>
      </c>
      <c r="N129" s="42">
        <f t="shared" si="71"/>
        <v>20</v>
      </c>
      <c r="O129" s="39">
        <f t="shared" si="74"/>
        <v>75</v>
      </c>
      <c r="P129" s="39">
        <f t="shared" si="74"/>
        <v>0</v>
      </c>
      <c r="Q129" s="39">
        <f t="shared" si="79"/>
        <v>0</v>
      </c>
      <c r="R129" s="39">
        <f t="shared" si="80"/>
        <v>0</v>
      </c>
      <c r="S129" s="39">
        <f t="shared" si="80"/>
        <v>70</v>
      </c>
      <c r="T129" s="39">
        <f t="shared" si="80"/>
        <v>0</v>
      </c>
      <c r="U129" s="39">
        <f t="shared" si="80"/>
        <v>0</v>
      </c>
      <c r="V129" s="39">
        <f t="shared" si="80"/>
        <v>0</v>
      </c>
      <c r="W129" s="39">
        <f t="shared" si="80"/>
        <v>0</v>
      </c>
      <c r="X129" s="39">
        <f t="shared" si="80"/>
        <v>0</v>
      </c>
      <c r="Y129" s="39">
        <f t="shared" si="80"/>
        <v>0</v>
      </c>
      <c r="Z129" s="39">
        <f t="shared" si="80"/>
        <v>0</v>
      </c>
      <c r="AA129" s="39">
        <f t="shared" si="80"/>
        <v>0</v>
      </c>
      <c r="AB129" s="39">
        <f t="shared" si="81"/>
        <v>0</v>
      </c>
      <c r="AC129" s="39">
        <f t="shared" si="81"/>
        <v>0</v>
      </c>
      <c r="AD129" s="39">
        <f t="shared" si="81"/>
        <v>0</v>
      </c>
      <c r="AE129" s="39">
        <f t="shared" si="81"/>
        <v>0</v>
      </c>
      <c r="AF129" s="39">
        <f t="shared" si="81"/>
        <v>0</v>
      </c>
      <c r="AG129" s="39">
        <f t="shared" si="81"/>
        <v>0</v>
      </c>
      <c r="AH129" s="39">
        <f t="shared" si="81"/>
        <v>0</v>
      </c>
      <c r="AI129" s="39">
        <f t="shared" si="81"/>
        <v>0</v>
      </c>
      <c r="AJ129" s="39">
        <f t="shared" si="81"/>
        <v>0</v>
      </c>
      <c r="AK129" s="39">
        <f t="shared" si="81"/>
        <v>0</v>
      </c>
      <c r="AL129" s="39">
        <f t="shared" si="81"/>
        <v>0</v>
      </c>
      <c r="AM129" s="39">
        <f t="shared" si="81"/>
        <v>0</v>
      </c>
    </row>
    <row r="130" spans="1:41" x14ac:dyDescent="0.25">
      <c r="A130" s="71" t="s">
        <v>93</v>
      </c>
      <c r="B130" s="72" t="s">
        <v>89</v>
      </c>
      <c r="C130" s="332">
        <v>5</v>
      </c>
      <c r="D130" s="69" t="s">
        <v>210</v>
      </c>
      <c r="E130" s="35">
        <v>46102</v>
      </c>
      <c r="F130" s="184">
        <v>0.58333333333333337</v>
      </c>
      <c r="G130" s="208" t="s">
        <v>20</v>
      </c>
      <c r="H130" s="201" t="s">
        <v>18</v>
      </c>
      <c r="I130" s="174" t="s">
        <v>186</v>
      </c>
      <c r="J130" s="175" t="s">
        <v>190</v>
      </c>
      <c r="K130" s="3">
        <f t="shared" si="82"/>
        <v>7</v>
      </c>
      <c r="L130" t="str">
        <f t="shared" si="83"/>
        <v/>
      </c>
      <c r="M130" s="39">
        <f t="shared" si="68"/>
        <v>165</v>
      </c>
      <c r="N130" s="42">
        <f t="shared" si="71"/>
        <v>20</v>
      </c>
      <c r="O130" s="39">
        <f t="shared" si="74"/>
        <v>0</v>
      </c>
      <c r="P130" s="39">
        <f t="shared" si="74"/>
        <v>70</v>
      </c>
      <c r="Q130" s="39">
        <f t="shared" si="79"/>
        <v>0</v>
      </c>
      <c r="R130" s="39">
        <f t="shared" si="80"/>
        <v>0</v>
      </c>
      <c r="S130" s="39">
        <f t="shared" si="80"/>
        <v>75</v>
      </c>
      <c r="T130" s="39">
        <f t="shared" si="80"/>
        <v>0</v>
      </c>
      <c r="U130" s="39">
        <f t="shared" si="80"/>
        <v>0</v>
      </c>
      <c r="V130" s="39">
        <f t="shared" si="80"/>
        <v>0</v>
      </c>
      <c r="W130" s="39">
        <f t="shared" si="80"/>
        <v>0</v>
      </c>
      <c r="X130" s="39">
        <f t="shared" si="80"/>
        <v>0</v>
      </c>
      <c r="Y130" s="39">
        <f t="shared" si="80"/>
        <v>0</v>
      </c>
      <c r="Z130" s="39">
        <f t="shared" si="80"/>
        <v>0</v>
      </c>
      <c r="AA130" s="39">
        <f t="shared" si="80"/>
        <v>0</v>
      </c>
      <c r="AB130" s="39">
        <f t="shared" si="81"/>
        <v>0</v>
      </c>
      <c r="AC130" s="39">
        <f t="shared" si="81"/>
        <v>0</v>
      </c>
      <c r="AD130" s="39">
        <f t="shared" si="81"/>
        <v>0</v>
      </c>
      <c r="AE130" s="39">
        <f t="shared" si="81"/>
        <v>0</v>
      </c>
      <c r="AF130" s="39">
        <f t="shared" si="81"/>
        <v>0</v>
      </c>
      <c r="AG130" s="39">
        <f t="shared" si="81"/>
        <v>0</v>
      </c>
      <c r="AH130" s="39">
        <f t="shared" si="81"/>
        <v>0</v>
      </c>
      <c r="AI130" s="39">
        <f t="shared" si="81"/>
        <v>0</v>
      </c>
      <c r="AJ130" s="39">
        <f t="shared" si="81"/>
        <v>0</v>
      </c>
      <c r="AK130" s="39">
        <f t="shared" si="81"/>
        <v>0</v>
      </c>
      <c r="AL130" s="39">
        <f t="shared" si="81"/>
        <v>0</v>
      </c>
      <c r="AM130" s="39">
        <f t="shared" si="81"/>
        <v>0</v>
      </c>
    </row>
    <row r="131" spans="1:41" x14ac:dyDescent="0.25">
      <c r="A131" s="71" t="s">
        <v>96</v>
      </c>
      <c r="B131" s="72" t="s">
        <v>92</v>
      </c>
      <c r="C131" s="332">
        <v>5</v>
      </c>
      <c r="D131" s="69" t="s">
        <v>210</v>
      </c>
      <c r="E131" s="35">
        <v>46102</v>
      </c>
      <c r="F131" s="184">
        <v>0.6875</v>
      </c>
      <c r="G131" s="208" t="s">
        <v>18</v>
      </c>
      <c r="H131" s="201" t="s">
        <v>73</v>
      </c>
      <c r="I131" s="176" t="s">
        <v>186</v>
      </c>
      <c r="J131" s="173" t="s">
        <v>190</v>
      </c>
      <c r="K131" s="3">
        <f t="shared" si="82"/>
        <v>7</v>
      </c>
      <c r="L131" t="str">
        <f t="shared" si="83"/>
        <v/>
      </c>
      <c r="M131" s="39">
        <f t="shared" si="68"/>
        <v>165</v>
      </c>
      <c r="N131" s="42">
        <f t="shared" si="71"/>
        <v>20</v>
      </c>
      <c r="O131" s="39">
        <f t="shared" si="74"/>
        <v>0</v>
      </c>
      <c r="P131" s="39">
        <f t="shared" si="74"/>
        <v>75</v>
      </c>
      <c r="Q131" s="39">
        <f t="shared" si="79"/>
        <v>0</v>
      </c>
      <c r="R131" s="39">
        <f t="shared" si="80"/>
        <v>0</v>
      </c>
      <c r="S131" s="39">
        <f t="shared" si="80"/>
        <v>0</v>
      </c>
      <c r="T131" s="39">
        <f t="shared" si="80"/>
        <v>70</v>
      </c>
      <c r="U131" s="39">
        <f t="shared" si="80"/>
        <v>0</v>
      </c>
      <c r="V131" s="39">
        <f t="shared" si="80"/>
        <v>0</v>
      </c>
      <c r="W131" s="39">
        <f t="shared" si="80"/>
        <v>0</v>
      </c>
      <c r="X131" s="39">
        <f t="shared" si="80"/>
        <v>0</v>
      </c>
      <c r="Y131" s="39">
        <f t="shared" si="80"/>
        <v>0</v>
      </c>
      <c r="Z131" s="39">
        <f t="shared" si="80"/>
        <v>0</v>
      </c>
      <c r="AA131" s="39">
        <f t="shared" si="80"/>
        <v>0</v>
      </c>
      <c r="AB131" s="39">
        <f t="shared" si="81"/>
        <v>0</v>
      </c>
      <c r="AC131" s="39">
        <f t="shared" si="81"/>
        <v>0</v>
      </c>
      <c r="AD131" s="39">
        <f t="shared" si="81"/>
        <v>0</v>
      </c>
      <c r="AE131" s="39">
        <f t="shared" si="81"/>
        <v>0</v>
      </c>
      <c r="AF131" s="39">
        <f t="shared" si="81"/>
        <v>0</v>
      </c>
      <c r="AG131" s="39">
        <f t="shared" si="81"/>
        <v>0</v>
      </c>
      <c r="AH131" s="39">
        <f t="shared" si="81"/>
        <v>0</v>
      </c>
      <c r="AI131" s="39">
        <f t="shared" si="81"/>
        <v>0</v>
      </c>
      <c r="AJ131" s="39">
        <f t="shared" si="81"/>
        <v>0</v>
      </c>
      <c r="AK131" s="39">
        <f t="shared" si="81"/>
        <v>0</v>
      </c>
      <c r="AL131" s="39">
        <f t="shared" si="81"/>
        <v>0</v>
      </c>
      <c r="AM131" s="39">
        <f t="shared" si="81"/>
        <v>0</v>
      </c>
    </row>
    <row r="132" spans="1:41" x14ac:dyDescent="0.25">
      <c r="A132" s="16" t="s">
        <v>98</v>
      </c>
      <c r="B132" s="17" t="s">
        <v>89</v>
      </c>
      <c r="C132" s="259">
        <v>5</v>
      </c>
      <c r="D132" s="18" t="s">
        <v>210</v>
      </c>
      <c r="E132" s="36">
        <v>46102</v>
      </c>
      <c r="F132" s="185">
        <v>0.375</v>
      </c>
      <c r="G132" s="199" t="s">
        <v>23</v>
      </c>
      <c r="H132" s="207"/>
      <c r="I132" s="161" t="s">
        <v>187</v>
      </c>
      <c r="J132" s="162" t="s">
        <v>188</v>
      </c>
      <c r="K132" s="3">
        <f>WEEKDAY(E132)</f>
        <v>7</v>
      </c>
      <c r="L132">
        <f>IF(G132=L$1,1,IF(H132=L$1,1,""))</f>
        <v>1</v>
      </c>
      <c r="M132" s="39">
        <f t="shared" si="68"/>
        <v>85</v>
      </c>
      <c r="N132" s="42">
        <f>IF(H132&lt;&gt;"",20,10)</f>
        <v>10</v>
      </c>
      <c r="O132" s="39">
        <f t="shared" si="74"/>
        <v>0</v>
      </c>
      <c r="P132" s="39">
        <f t="shared" si="74"/>
        <v>0</v>
      </c>
      <c r="Q132" s="39">
        <f t="shared" si="79"/>
        <v>0</v>
      </c>
      <c r="R132" s="39">
        <f t="shared" si="80"/>
        <v>0</v>
      </c>
      <c r="S132" s="39">
        <f t="shared" si="80"/>
        <v>0</v>
      </c>
      <c r="T132" s="39">
        <f t="shared" si="80"/>
        <v>0</v>
      </c>
      <c r="U132" s="39">
        <f t="shared" si="80"/>
        <v>0</v>
      </c>
      <c r="V132" s="39">
        <f t="shared" si="80"/>
        <v>0</v>
      </c>
      <c r="W132" s="39">
        <f t="shared" si="80"/>
        <v>0</v>
      </c>
      <c r="X132" s="39">
        <f t="shared" si="80"/>
        <v>75</v>
      </c>
      <c r="Y132" s="39">
        <f t="shared" si="80"/>
        <v>0</v>
      </c>
      <c r="Z132" s="39">
        <f t="shared" si="80"/>
        <v>0</v>
      </c>
      <c r="AA132" s="39">
        <f t="shared" si="80"/>
        <v>0</v>
      </c>
      <c r="AB132" s="39">
        <f t="shared" si="81"/>
        <v>0</v>
      </c>
      <c r="AC132" s="39">
        <f t="shared" si="81"/>
        <v>0</v>
      </c>
      <c r="AD132" s="39">
        <f t="shared" si="81"/>
        <v>0</v>
      </c>
      <c r="AE132" s="39">
        <f t="shared" si="81"/>
        <v>0</v>
      </c>
      <c r="AF132" s="39">
        <f t="shared" si="81"/>
        <v>0</v>
      </c>
      <c r="AG132" s="39">
        <f t="shared" si="81"/>
        <v>0</v>
      </c>
      <c r="AH132" s="39">
        <f t="shared" si="81"/>
        <v>0</v>
      </c>
      <c r="AI132" s="39">
        <f t="shared" si="81"/>
        <v>0</v>
      </c>
      <c r="AJ132" s="39">
        <f t="shared" si="81"/>
        <v>0</v>
      </c>
      <c r="AK132" s="39">
        <f t="shared" si="81"/>
        <v>0</v>
      </c>
      <c r="AL132" s="39">
        <f t="shared" si="81"/>
        <v>0</v>
      </c>
      <c r="AM132" s="39">
        <f t="shared" si="81"/>
        <v>0</v>
      </c>
    </row>
    <row r="133" spans="1:41" x14ac:dyDescent="0.25">
      <c r="A133" s="16" t="s">
        <v>92</v>
      </c>
      <c r="B133" s="17" t="s">
        <v>90</v>
      </c>
      <c r="C133" s="259">
        <v>5</v>
      </c>
      <c r="D133" s="18" t="s">
        <v>210</v>
      </c>
      <c r="E133" s="36">
        <v>46102</v>
      </c>
      <c r="F133" s="185">
        <v>0.47916666666666669</v>
      </c>
      <c r="G133" s="199" t="s">
        <v>23</v>
      </c>
      <c r="H133" s="207"/>
      <c r="I133" s="161" t="s">
        <v>187</v>
      </c>
      <c r="J133" s="162" t="s">
        <v>188</v>
      </c>
      <c r="K133" s="3">
        <f>WEEKDAY(E133)</f>
        <v>7</v>
      </c>
      <c r="L133">
        <f>IF(G133=L$1,1,IF(H133=L$1,1,""))</f>
        <v>1</v>
      </c>
      <c r="M133" s="39">
        <f t="shared" si="68"/>
        <v>85</v>
      </c>
      <c r="N133" s="42">
        <f>IF(H133&lt;&gt;"",20,10)</f>
        <v>10</v>
      </c>
      <c r="O133" s="39">
        <f t="shared" si="74"/>
        <v>0</v>
      </c>
      <c r="P133" s="39">
        <f t="shared" si="74"/>
        <v>0</v>
      </c>
      <c r="Q133" s="39">
        <f t="shared" si="79"/>
        <v>0</v>
      </c>
      <c r="R133" s="39">
        <f t="shared" si="80"/>
        <v>0</v>
      </c>
      <c r="S133" s="39">
        <f t="shared" si="80"/>
        <v>0</v>
      </c>
      <c r="T133" s="39">
        <f t="shared" si="80"/>
        <v>0</v>
      </c>
      <c r="U133" s="39">
        <f t="shared" si="80"/>
        <v>0</v>
      </c>
      <c r="V133" s="39">
        <f t="shared" si="80"/>
        <v>0</v>
      </c>
      <c r="W133" s="39">
        <f t="shared" si="80"/>
        <v>0</v>
      </c>
      <c r="X133" s="39">
        <f t="shared" si="80"/>
        <v>75</v>
      </c>
      <c r="Y133" s="39">
        <f t="shared" si="80"/>
        <v>0</v>
      </c>
      <c r="Z133" s="39">
        <f t="shared" si="80"/>
        <v>0</v>
      </c>
      <c r="AA133" s="39">
        <f t="shared" si="80"/>
        <v>0</v>
      </c>
      <c r="AB133" s="39">
        <f t="shared" si="81"/>
        <v>0</v>
      </c>
      <c r="AC133" s="39">
        <f t="shared" si="81"/>
        <v>0</v>
      </c>
      <c r="AD133" s="39">
        <f t="shared" si="81"/>
        <v>0</v>
      </c>
      <c r="AE133" s="39">
        <f t="shared" si="81"/>
        <v>0</v>
      </c>
      <c r="AF133" s="39">
        <f t="shared" si="81"/>
        <v>0</v>
      </c>
      <c r="AG133" s="39">
        <f t="shared" si="81"/>
        <v>0</v>
      </c>
      <c r="AH133" s="39">
        <f t="shared" si="81"/>
        <v>0</v>
      </c>
      <c r="AI133" s="39">
        <f t="shared" si="81"/>
        <v>0</v>
      </c>
      <c r="AJ133" s="39">
        <f t="shared" si="81"/>
        <v>0</v>
      </c>
      <c r="AK133" s="39">
        <f t="shared" si="81"/>
        <v>0</v>
      </c>
      <c r="AL133" s="39">
        <f t="shared" si="81"/>
        <v>0</v>
      </c>
      <c r="AM133" s="39">
        <f t="shared" si="81"/>
        <v>0</v>
      </c>
    </row>
    <row r="134" spans="1:41" x14ac:dyDescent="0.25">
      <c r="A134" s="57" t="s">
        <v>99</v>
      </c>
      <c r="B134" s="58" t="s">
        <v>96</v>
      </c>
      <c r="C134" s="342">
        <v>5</v>
      </c>
      <c r="D134" s="59" t="s">
        <v>210</v>
      </c>
      <c r="E134" s="60">
        <v>46102</v>
      </c>
      <c r="F134" s="190">
        <v>0.58333333333333337</v>
      </c>
      <c r="G134" s="199" t="s">
        <v>73</v>
      </c>
      <c r="H134" s="209"/>
      <c r="I134" s="161" t="s">
        <v>187</v>
      </c>
      <c r="J134" s="162" t="s">
        <v>188</v>
      </c>
      <c r="K134" s="3">
        <f>WEEKDAY(E134)</f>
        <v>7</v>
      </c>
      <c r="L134">
        <f>IF(G134=L$1,1,IF(H134=L$1,1,""))</f>
        <v>1</v>
      </c>
      <c r="M134" s="39">
        <f t="shared" si="68"/>
        <v>85</v>
      </c>
      <c r="N134" s="42">
        <f>IF(H134&lt;&gt;"",20,10)</f>
        <v>10</v>
      </c>
      <c r="O134" s="39">
        <f t="shared" si="74"/>
        <v>0</v>
      </c>
      <c r="P134" s="39">
        <f t="shared" si="74"/>
        <v>0</v>
      </c>
      <c r="Q134" s="39">
        <f t="shared" si="79"/>
        <v>0</v>
      </c>
      <c r="R134" s="39">
        <f t="shared" si="80"/>
        <v>0</v>
      </c>
      <c r="S134" s="39">
        <f t="shared" si="80"/>
        <v>0</v>
      </c>
      <c r="T134" s="39">
        <f t="shared" si="80"/>
        <v>75</v>
      </c>
      <c r="U134" s="39">
        <f t="shared" si="80"/>
        <v>0</v>
      </c>
      <c r="V134" s="39">
        <f t="shared" si="80"/>
        <v>0</v>
      </c>
      <c r="W134" s="39">
        <f t="shared" si="80"/>
        <v>0</v>
      </c>
      <c r="X134" s="39">
        <f t="shared" si="80"/>
        <v>0</v>
      </c>
      <c r="Y134" s="39">
        <f t="shared" si="80"/>
        <v>0</v>
      </c>
      <c r="Z134" s="39">
        <f t="shared" si="80"/>
        <v>0</v>
      </c>
      <c r="AA134" s="39">
        <f t="shared" si="80"/>
        <v>0</v>
      </c>
      <c r="AB134" s="39">
        <f t="shared" si="81"/>
        <v>0</v>
      </c>
      <c r="AC134" s="39">
        <f t="shared" si="81"/>
        <v>0</v>
      </c>
      <c r="AD134" s="39">
        <f t="shared" si="81"/>
        <v>0</v>
      </c>
      <c r="AE134" s="39">
        <f t="shared" si="81"/>
        <v>0</v>
      </c>
      <c r="AF134" s="39">
        <f t="shared" si="81"/>
        <v>0</v>
      </c>
      <c r="AG134" s="39">
        <f t="shared" si="81"/>
        <v>0</v>
      </c>
      <c r="AH134" s="39">
        <f t="shared" si="81"/>
        <v>0</v>
      </c>
      <c r="AI134" s="39">
        <f t="shared" si="81"/>
        <v>0</v>
      </c>
      <c r="AJ134" s="39">
        <f t="shared" si="81"/>
        <v>0</v>
      </c>
      <c r="AK134" s="39">
        <f t="shared" si="81"/>
        <v>0</v>
      </c>
      <c r="AL134" s="39">
        <f t="shared" si="81"/>
        <v>0</v>
      </c>
      <c r="AM134" s="39">
        <f t="shared" si="81"/>
        <v>0</v>
      </c>
    </row>
    <row r="135" spans="1:41" x14ac:dyDescent="0.25">
      <c r="A135" s="16" t="s">
        <v>93</v>
      </c>
      <c r="B135" s="17" t="s">
        <v>95</v>
      </c>
      <c r="C135" s="259">
        <v>5</v>
      </c>
      <c r="D135" s="18" t="s">
        <v>210</v>
      </c>
      <c r="E135" s="36">
        <v>46102</v>
      </c>
      <c r="F135" s="185">
        <v>0.6875</v>
      </c>
      <c r="G135" s="199" t="s">
        <v>107</v>
      </c>
      <c r="H135" s="207"/>
      <c r="I135" s="161" t="s">
        <v>187</v>
      </c>
      <c r="J135" s="162" t="s">
        <v>188</v>
      </c>
      <c r="K135" s="3">
        <f>WEEKDAY(E135)</f>
        <v>7</v>
      </c>
      <c r="L135">
        <f>IF(G135=L$1,1,IF(H135=L$1,1,""))</f>
        <v>1</v>
      </c>
      <c r="M135" s="39">
        <f t="shared" si="68"/>
        <v>85</v>
      </c>
      <c r="N135" s="42">
        <f>IF(H135&lt;&gt;"",20,10)</f>
        <v>10</v>
      </c>
      <c r="O135" s="39">
        <f t="shared" si="74"/>
        <v>0</v>
      </c>
      <c r="P135" s="39">
        <f t="shared" si="74"/>
        <v>0</v>
      </c>
      <c r="Q135" s="39">
        <f t="shared" si="79"/>
        <v>0</v>
      </c>
      <c r="R135" s="39">
        <f t="shared" ref="R135:AA141" si="84">IF($G135=R$1,VLOOKUP($J135,$AP:$AQ,2,FALSE),IF($H135=R$1,70,0))</f>
        <v>0</v>
      </c>
      <c r="S135" s="39">
        <f t="shared" si="84"/>
        <v>0</v>
      </c>
      <c r="T135" s="39">
        <f t="shared" si="84"/>
        <v>0</v>
      </c>
      <c r="U135" s="39">
        <f t="shared" si="84"/>
        <v>0</v>
      </c>
      <c r="V135" s="39">
        <f t="shared" si="84"/>
        <v>0</v>
      </c>
      <c r="W135" s="39">
        <f t="shared" si="84"/>
        <v>0</v>
      </c>
      <c r="X135" s="39">
        <f t="shared" si="84"/>
        <v>0</v>
      </c>
      <c r="Y135" s="39">
        <f t="shared" si="84"/>
        <v>0</v>
      </c>
      <c r="Z135" s="39">
        <f t="shared" si="84"/>
        <v>0</v>
      </c>
      <c r="AA135" s="39">
        <f t="shared" si="84"/>
        <v>0</v>
      </c>
      <c r="AB135" s="39">
        <f t="shared" ref="AB135:AM141" si="85">IF($G135=AB$1,VLOOKUP($J135,$AP:$AQ,2,FALSE),IF($H135=AB$1,70,0))</f>
        <v>0</v>
      </c>
      <c r="AC135" s="39">
        <f t="shared" si="85"/>
        <v>0</v>
      </c>
      <c r="AD135" s="39">
        <f t="shared" si="85"/>
        <v>75</v>
      </c>
      <c r="AE135" s="39">
        <f t="shared" si="85"/>
        <v>0</v>
      </c>
      <c r="AF135" s="39">
        <f t="shared" si="85"/>
        <v>0</v>
      </c>
      <c r="AG135" s="39">
        <f t="shared" si="85"/>
        <v>0</v>
      </c>
      <c r="AH135" s="39">
        <f t="shared" si="85"/>
        <v>0</v>
      </c>
      <c r="AI135" s="39">
        <f t="shared" si="85"/>
        <v>0</v>
      </c>
      <c r="AJ135" s="39">
        <f t="shared" si="85"/>
        <v>0</v>
      </c>
      <c r="AK135" s="39">
        <f t="shared" si="85"/>
        <v>0</v>
      </c>
      <c r="AL135" s="39">
        <f t="shared" si="85"/>
        <v>0</v>
      </c>
      <c r="AM135" s="39">
        <f t="shared" si="85"/>
        <v>0</v>
      </c>
    </row>
    <row r="136" spans="1:41" x14ac:dyDescent="0.25">
      <c r="A136" s="7" t="s">
        <v>94</v>
      </c>
      <c r="B136" s="8" t="s">
        <v>95</v>
      </c>
      <c r="C136" s="268">
        <v>5</v>
      </c>
      <c r="D136" s="9" t="s">
        <v>210</v>
      </c>
      <c r="E136" s="31">
        <v>46103</v>
      </c>
      <c r="F136" s="186">
        <v>0.375</v>
      </c>
      <c r="G136" s="200" t="s">
        <v>102</v>
      </c>
      <c r="H136" s="196"/>
      <c r="I136" s="163" t="s">
        <v>186</v>
      </c>
      <c r="J136" s="164" t="s">
        <v>189</v>
      </c>
      <c r="K136" s="3">
        <f t="shared" ref="K136:K141" si="86">WEEKDAY(E136)</f>
        <v>1</v>
      </c>
      <c r="L136">
        <f t="shared" ref="L136:L145" si="87">IF(G136=L$1,1,IF(H136=L$1,1,""))</f>
        <v>1</v>
      </c>
      <c r="M136" s="39">
        <f t="shared" si="68"/>
        <v>80</v>
      </c>
      <c r="N136" s="42">
        <f t="shared" ref="N136:N141" si="88">IF(H136&lt;&gt;"",20,10)</f>
        <v>10</v>
      </c>
      <c r="O136" s="39">
        <f t="shared" si="74"/>
        <v>0</v>
      </c>
      <c r="P136" s="39">
        <f t="shared" si="74"/>
        <v>0</v>
      </c>
      <c r="Q136" s="39">
        <f t="shared" si="79"/>
        <v>0</v>
      </c>
      <c r="R136" s="39">
        <f t="shared" si="84"/>
        <v>0</v>
      </c>
      <c r="S136" s="39">
        <f t="shared" si="84"/>
        <v>0</v>
      </c>
      <c r="T136" s="39">
        <f t="shared" si="84"/>
        <v>0</v>
      </c>
      <c r="U136" s="39">
        <f t="shared" si="84"/>
        <v>0</v>
      </c>
      <c r="V136" s="39">
        <f t="shared" si="84"/>
        <v>0</v>
      </c>
      <c r="W136" s="39">
        <f t="shared" si="84"/>
        <v>70</v>
      </c>
      <c r="X136" s="39">
        <f t="shared" si="84"/>
        <v>0</v>
      </c>
      <c r="Y136" s="39">
        <f t="shared" si="84"/>
        <v>0</v>
      </c>
      <c r="Z136" s="39">
        <f t="shared" si="84"/>
        <v>0</v>
      </c>
      <c r="AA136" s="39">
        <f t="shared" si="84"/>
        <v>0</v>
      </c>
      <c r="AB136" s="39">
        <f t="shared" si="85"/>
        <v>0</v>
      </c>
      <c r="AC136" s="39">
        <f t="shared" si="85"/>
        <v>0</v>
      </c>
      <c r="AD136" s="39">
        <f t="shared" si="85"/>
        <v>0</v>
      </c>
      <c r="AE136" s="39">
        <f t="shared" si="85"/>
        <v>0</v>
      </c>
      <c r="AF136" s="39">
        <f t="shared" si="85"/>
        <v>0</v>
      </c>
      <c r="AG136" s="39">
        <f t="shared" si="85"/>
        <v>0</v>
      </c>
      <c r="AH136" s="39">
        <f t="shared" si="85"/>
        <v>0</v>
      </c>
      <c r="AI136" s="39">
        <f t="shared" si="85"/>
        <v>0</v>
      </c>
      <c r="AJ136" s="39">
        <f t="shared" si="85"/>
        <v>0</v>
      </c>
      <c r="AK136" s="39">
        <f t="shared" si="85"/>
        <v>0</v>
      </c>
      <c r="AL136" s="39">
        <f t="shared" si="85"/>
        <v>0</v>
      </c>
      <c r="AM136" s="39">
        <f t="shared" si="85"/>
        <v>0</v>
      </c>
    </row>
    <row r="137" spans="1:41" x14ac:dyDescent="0.25">
      <c r="A137" s="7" t="s">
        <v>93</v>
      </c>
      <c r="B137" s="8" t="s">
        <v>89</v>
      </c>
      <c r="C137" s="268">
        <v>5</v>
      </c>
      <c r="D137" s="9" t="s">
        <v>210</v>
      </c>
      <c r="E137" s="31">
        <v>46103</v>
      </c>
      <c r="F137" s="186">
        <v>0.47916666666666669</v>
      </c>
      <c r="G137" s="200" t="s">
        <v>102</v>
      </c>
      <c r="H137" s="196"/>
      <c r="I137" s="163" t="s">
        <v>186</v>
      </c>
      <c r="J137" s="164" t="s">
        <v>189</v>
      </c>
      <c r="K137" s="3">
        <f t="shared" si="86"/>
        <v>1</v>
      </c>
      <c r="L137">
        <f t="shared" si="87"/>
        <v>1</v>
      </c>
      <c r="M137" s="39">
        <f t="shared" si="68"/>
        <v>80</v>
      </c>
      <c r="N137" s="42">
        <f t="shared" si="88"/>
        <v>10</v>
      </c>
      <c r="O137" s="39">
        <f t="shared" si="74"/>
        <v>0</v>
      </c>
      <c r="P137" s="39">
        <f t="shared" si="74"/>
        <v>0</v>
      </c>
      <c r="Q137" s="39">
        <f t="shared" si="79"/>
        <v>0</v>
      </c>
      <c r="R137" s="39">
        <f t="shared" si="84"/>
        <v>0</v>
      </c>
      <c r="S137" s="39">
        <f t="shared" si="84"/>
        <v>0</v>
      </c>
      <c r="T137" s="39">
        <f t="shared" si="84"/>
        <v>0</v>
      </c>
      <c r="U137" s="39">
        <f t="shared" si="84"/>
        <v>0</v>
      </c>
      <c r="V137" s="39">
        <f t="shared" si="84"/>
        <v>0</v>
      </c>
      <c r="W137" s="39">
        <f t="shared" si="84"/>
        <v>70</v>
      </c>
      <c r="X137" s="39">
        <f t="shared" si="84"/>
        <v>0</v>
      </c>
      <c r="Y137" s="39">
        <f t="shared" si="84"/>
        <v>0</v>
      </c>
      <c r="Z137" s="39">
        <f t="shared" si="84"/>
        <v>0</v>
      </c>
      <c r="AA137" s="39">
        <f t="shared" si="84"/>
        <v>0</v>
      </c>
      <c r="AB137" s="39">
        <f t="shared" si="85"/>
        <v>0</v>
      </c>
      <c r="AC137" s="39">
        <f t="shared" si="85"/>
        <v>0</v>
      </c>
      <c r="AD137" s="39">
        <f t="shared" si="85"/>
        <v>0</v>
      </c>
      <c r="AE137" s="39">
        <f t="shared" si="85"/>
        <v>0</v>
      </c>
      <c r="AF137" s="39">
        <f t="shared" si="85"/>
        <v>0</v>
      </c>
      <c r="AG137" s="39">
        <f t="shared" si="85"/>
        <v>0</v>
      </c>
      <c r="AH137" s="39">
        <f t="shared" si="85"/>
        <v>0</v>
      </c>
      <c r="AI137" s="39">
        <f t="shared" si="85"/>
        <v>0</v>
      </c>
      <c r="AJ137" s="39">
        <f t="shared" si="85"/>
        <v>0</v>
      </c>
      <c r="AK137" s="39">
        <f t="shared" si="85"/>
        <v>0</v>
      </c>
      <c r="AL137" s="39">
        <f t="shared" si="85"/>
        <v>0</v>
      </c>
      <c r="AM137" s="39">
        <f t="shared" si="85"/>
        <v>0</v>
      </c>
    </row>
    <row r="138" spans="1:41" x14ac:dyDescent="0.25">
      <c r="A138" s="7" t="s">
        <v>90</v>
      </c>
      <c r="B138" s="8" t="s">
        <v>92</v>
      </c>
      <c r="C138" s="268">
        <v>5</v>
      </c>
      <c r="D138" s="9" t="s">
        <v>210</v>
      </c>
      <c r="E138" s="31">
        <v>46103</v>
      </c>
      <c r="F138" s="186">
        <v>0.58333333333333337</v>
      </c>
      <c r="G138" s="200" t="s">
        <v>107</v>
      </c>
      <c r="H138" s="196"/>
      <c r="I138" s="163" t="s">
        <v>186</v>
      </c>
      <c r="J138" s="164" t="s">
        <v>189</v>
      </c>
      <c r="K138" s="3">
        <f t="shared" si="86"/>
        <v>1</v>
      </c>
      <c r="L138">
        <f t="shared" si="87"/>
        <v>1</v>
      </c>
      <c r="M138" s="39">
        <f t="shared" si="68"/>
        <v>80</v>
      </c>
      <c r="N138" s="42">
        <f t="shared" si="88"/>
        <v>10</v>
      </c>
      <c r="O138" s="39">
        <f t="shared" si="74"/>
        <v>0</v>
      </c>
      <c r="P138" s="39">
        <f t="shared" si="74"/>
        <v>0</v>
      </c>
      <c r="Q138" s="39">
        <f t="shared" si="79"/>
        <v>0</v>
      </c>
      <c r="R138" s="39">
        <f t="shared" si="84"/>
        <v>0</v>
      </c>
      <c r="S138" s="39">
        <f t="shared" si="84"/>
        <v>0</v>
      </c>
      <c r="T138" s="39">
        <f t="shared" si="84"/>
        <v>0</v>
      </c>
      <c r="U138" s="39">
        <f t="shared" si="84"/>
        <v>0</v>
      </c>
      <c r="V138" s="39">
        <f t="shared" si="84"/>
        <v>0</v>
      </c>
      <c r="W138" s="39">
        <f t="shared" si="84"/>
        <v>0</v>
      </c>
      <c r="X138" s="39">
        <f t="shared" si="84"/>
        <v>0</v>
      </c>
      <c r="Y138" s="39">
        <f t="shared" si="84"/>
        <v>0</v>
      </c>
      <c r="Z138" s="39">
        <f t="shared" si="84"/>
        <v>0</v>
      </c>
      <c r="AA138" s="39">
        <f t="shared" si="84"/>
        <v>0</v>
      </c>
      <c r="AB138" s="39">
        <f t="shared" si="85"/>
        <v>0</v>
      </c>
      <c r="AC138" s="39">
        <f t="shared" si="85"/>
        <v>0</v>
      </c>
      <c r="AD138" s="39">
        <f t="shared" si="85"/>
        <v>70</v>
      </c>
      <c r="AE138" s="39">
        <f t="shared" si="85"/>
        <v>0</v>
      </c>
      <c r="AF138" s="39">
        <f t="shared" si="85"/>
        <v>0</v>
      </c>
      <c r="AG138" s="39">
        <f t="shared" si="85"/>
        <v>0</v>
      </c>
      <c r="AH138" s="39">
        <f t="shared" si="85"/>
        <v>0</v>
      </c>
      <c r="AI138" s="39">
        <f t="shared" si="85"/>
        <v>0</v>
      </c>
      <c r="AJ138" s="39">
        <f t="shared" si="85"/>
        <v>0</v>
      </c>
      <c r="AK138" s="39">
        <f t="shared" si="85"/>
        <v>0</v>
      </c>
      <c r="AL138" s="39">
        <f t="shared" si="85"/>
        <v>0</v>
      </c>
      <c r="AM138" s="39">
        <f t="shared" si="85"/>
        <v>0</v>
      </c>
    </row>
    <row r="139" spans="1:41" x14ac:dyDescent="0.25">
      <c r="A139" s="7" t="s">
        <v>100</v>
      </c>
      <c r="B139" s="8" t="s">
        <v>99</v>
      </c>
      <c r="C139" s="268">
        <v>5</v>
      </c>
      <c r="D139" s="9" t="s">
        <v>210</v>
      </c>
      <c r="E139" s="31">
        <v>46103</v>
      </c>
      <c r="F139" s="186">
        <v>0.375</v>
      </c>
      <c r="G139" s="200" t="s">
        <v>74</v>
      </c>
      <c r="H139" s="196"/>
      <c r="I139" s="163" t="s">
        <v>187</v>
      </c>
      <c r="J139" s="164" t="s">
        <v>189</v>
      </c>
      <c r="K139" s="3">
        <f t="shared" si="86"/>
        <v>1</v>
      </c>
      <c r="L139">
        <f t="shared" si="87"/>
        <v>1</v>
      </c>
      <c r="M139" s="39">
        <f t="shared" si="68"/>
        <v>80</v>
      </c>
      <c r="N139" s="42">
        <f t="shared" si="88"/>
        <v>10</v>
      </c>
      <c r="O139" s="39">
        <f t="shared" si="74"/>
        <v>0</v>
      </c>
      <c r="P139" s="39">
        <f t="shared" si="74"/>
        <v>0</v>
      </c>
      <c r="Q139" s="39">
        <f t="shared" si="79"/>
        <v>0</v>
      </c>
      <c r="R139" s="39">
        <f t="shared" si="84"/>
        <v>0</v>
      </c>
      <c r="S139" s="39">
        <f t="shared" si="84"/>
        <v>0</v>
      </c>
      <c r="T139" s="39">
        <f t="shared" si="84"/>
        <v>0</v>
      </c>
      <c r="U139" s="39">
        <f t="shared" si="84"/>
        <v>0</v>
      </c>
      <c r="V139" s="39">
        <f t="shared" si="84"/>
        <v>0</v>
      </c>
      <c r="W139" s="39">
        <f t="shared" si="84"/>
        <v>0</v>
      </c>
      <c r="X139" s="39">
        <f t="shared" si="84"/>
        <v>0</v>
      </c>
      <c r="Y139" s="39">
        <f t="shared" si="84"/>
        <v>0</v>
      </c>
      <c r="Z139" s="39">
        <f t="shared" si="84"/>
        <v>0</v>
      </c>
      <c r="AA139" s="39">
        <f t="shared" si="84"/>
        <v>70</v>
      </c>
      <c r="AB139" s="39">
        <f t="shared" si="85"/>
        <v>0</v>
      </c>
      <c r="AC139" s="39">
        <f t="shared" si="85"/>
        <v>0</v>
      </c>
      <c r="AD139" s="39">
        <f t="shared" si="85"/>
        <v>0</v>
      </c>
      <c r="AE139" s="39">
        <f t="shared" si="85"/>
        <v>0</v>
      </c>
      <c r="AF139" s="39">
        <f t="shared" si="85"/>
        <v>0</v>
      </c>
      <c r="AG139" s="39">
        <f t="shared" si="85"/>
        <v>0</v>
      </c>
      <c r="AH139" s="39">
        <f t="shared" si="85"/>
        <v>0</v>
      </c>
      <c r="AI139" s="39">
        <f t="shared" si="85"/>
        <v>0</v>
      </c>
      <c r="AJ139" s="39">
        <f t="shared" si="85"/>
        <v>0</v>
      </c>
      <c r="AK139" s="39">
        <f t="shared" si="85"/>
        <v>0</v>
      </c>
      <c r="AL139" s="39">
        <f t="shared" si="85"/>
        <v>0</v>
      </c>
      <c r="AM139" s="39">
        <f t="shared" si="85"/>
        <v>0</v>
      </c>
    </row>
    <row r="140" spans="1:41" x14ac:dyDescent="0.25">
      <c r="A140" s="7" t="s">
        <v>96</v>
      </c>
      <c r="B140" s="8" t="s">
        <v>97</v>
      </c>
      <c r="C140" s="268">
        <v>5</v>
      </c>
      <c r="D140" s="9" t="s">
        <v>210</v>
      </c>
      <c r="E140" s="31">
        <v>46103</v>
      </c>
      <c r="F140" s="186">
        <v>0.47916666666666669</v>
      </c>
      <c r="G140" s="200" t="s">
        <v>108</v>
      </c>
      <c r="H140" s="196"/>
      <c r="I140" s="163" t="s">
        <v>187</v>
      </c>
      <c r="J140" s="164" t="s">
        <v>189</v>
      </c>
      <c r="K140" s="3">
        <f t="shared" si="86"/>
        <v>1</v>
      </c>
      <c r="L140">
        <f t="shared" si="87"/>
        <v>1</v>
      </c>
      <c r="M140" s="39">
        <f t="shared" ref="M140:M174" si="89">SUM(N140:AM140)</f>
        <v>80</v>
      </c>
      <c r="N140" s="42">
        <f t="shared" si="88"/>
        <v>10</v>
      </c>
      <c r="O140" s="39">
        <f t="shared" si="74"/>
        <v>0</v>
      </c>
      <c r="P140" s="39">
        <f t="shared" si="74"/>
        <v>0</v>
      </c>
      <c r="Q140" s="39">
        <f t="shared" si="79"/>
        <v>0</v>
      </c>
      <c r="R140" s="39">
        <f t="shared" si="84"/>
        <v>0</v>
      </c>
      <c r="S140" s="39">
        <f t="shared" si="84"/>
        <v>0</v>
      </c>
      <c r="T140" s="39">
        <f t="shared" si="84"/>
        <v>0</v>
      </c>
      <c r="U140" s="39">
        <f t="shared" si="84"/>
        <v>0</v>
      </c>
      <c r="V140" s="39">
        <f t="shared" si="84"/>
        <v>0</v>
      </c>
      <c r="W140" s="39">
        <f t="shared" si="84"/>
        <v>0</v>
      </c>
      <c r="X140" s="39">
        <f t="shared" si="84"/>
        <v>0</v>
      </c>
      <c r="Y140" s="39">
        <f t="shared" si="84"/>
        <v>0</v>
      </c>
      <c r="Z140" s="39">
        <f t="shared" si="84"/>
        <v>0</v>
      </c>
      <c r="AA140" s="39">
        <f t="shared" si="84"/>
        <v>0</v>
      </c>
      <c r="AB140" s="39">
        <f t="shared" si="85"/>
        <v>0</v>
      </c>
      <c r="AC140" s="39">
        <f t="shared" si="85"/>
        <v>0</v>
      </c>
      <c r="AD140" s="39">
        <f t="shared" si="85"/>
        <v>0</v>
      </c>
      <c r="AE140" s="39">
        <f t="shared" si="85"/>
        <v>70</v>
      </c>
      <c r="AF140" s="39">
        <f t="shared" si="85"/>
        <v>0</v>
      </c>
      <c r="AG140" s="39">
        <f t="shared" si="85"/>
        <v>0</v>
      </c>
      <c r="AH140" s="39">
        <f t="shared" si="85"/>
        <v>0</v>
      </c>
      <c r="AI140" s="39">
        <f t="shared" si="85"/>
        <v>0</v>
      </c>
      <c r="AJ140" s="39">
        <f t="shared" si="85"/>
        <v>0</v>
      </c>
      <c r="AK140" s="39">
        <f t="shared" si="85"/>
        <v>0</v>
      </c>
      <c r="AL140" s="39">
        <f t="shared" si="85"/>
        <v>0</v>
      </c>
      <c r="AM140" s="39">
        <f t="shared" si="85"/>
        <v>0</v>
      </c>
    </row>
    <row r="141" spans="1:41" ht="15.75" thickBot="1" x14ac:dyDescent="0.3">
      <c r="A141" s="10" t="s">
        <v>101</v>
      </c>
      <c r="B141" s="11" t="s">
        <v>98</v>
      </c>
      <c r="C141" s="432">
        <v>5</v>
      </c>
      <c r="D141" s="12" t="s">
        <v>210</v>
      </c>
      <c r="E141" s="37">
        <v>46103</v>
      </c>
      <c r="F141" s="191">
        <v>0.58333333333333337</v>
      </c>
      <c r="G141" s="210" t="s">
        <v>108</v>
      </c>
      <c r="H141" s="211"/>
      <c r="I141" s="165" t="s">
        <v>187</v>
      </c>
      <c r="J141" s="166" t="s">
        <v>189</v>
      </c>
      <c r="K141" s="3">
        <f t="shared" si="86"/>
        <v>1</v>
      </c>
      <c r="L141">
        <f t="shared" si="87"/>
        <v>1</v>
      </c>
      <c r="M141" s="39">
        <f t="shared" si="89"/>
        <v>80</v>
      </c>
      <c r="N141" s="42">
        <f t="shared" si="88"/>
        <v>10</v>
      </c>
      <c r="O141" s="39">
        <f t="shared" si="74"/>
        <v>0</v>
      </c>
      <c r="P141" s="39">
        <f t="shared" si="74"/>
        <v>0</v>
      </c>
      <c r="Q141" s="39">
        <f t="shared" si="79"/>
        <v>0</v>
      </c>
      <c r="R141" s="39">
        <f t="shared" si="84"/>
        <v>0</v>
      </c>
      <c r="S141" s="39">
        <f t="shared" si="84"/>
        <v>0</v>
      </c>
      <c r="T141" s="39">
        <f t="shared" si="84"/>
        <v>0</v>
      </c>
      <c r="U141" s="39">
        <f t="shared" si="84"/>
        <v>0</v>
      </c>
      <c r="V141" s="39">
        <f t="shared" si="84"/>
        <v>0</v>
      </c>
      <c r="W141" s="39">
        <f t="shared" si="84"/>
        <v>0</v>
      </c>
      <c r="X141" s="39">
        <f t="shared" si="84"/>
        <v>0</v>
      </c>
      <c r="Y141" s="39">
        <f t="shared" si="84"/>
        <v>0</v>
      </c>
      <c r="Z141" s="39">
        <f t="shared" si="84"/>
        <v>0</v>
      </c>
      <c r="AA141" s="39">
        <f t="shared" si="84"/>
        <v>0</v>
      </c>
      <c r="AB141" s="39">
        <f t="shared" si="85"/>
        <v>0</v>
      </c>
      <c r="AC141" s="39">
        <f t="shared" si="85"/>
        <v>0</v>
      </c>
      <c r="AD141" s="39">
        <f t="shared" si="85"/>
        <v>0</v>
      </c>
      <c r="AE141" s="39">
        <f t="shared" si="85"/>
        <v>70</v>
      </c>
      <c r="AF141" s="39">
        <f t="shared" si="85"/>
        <v>0</v>
      </c>
      <c r="AG141" s="39">
        <f t="shared" si="85"/>
        <v>0</v>
      </c>
      <c r="AH141" s="39">
        <f t="shared" si="85"/>
        <v>0</v>
      </c>
      <c r="AI141" s="39">
        <f t="shared" si="85"/>
        <v>0</v>
      </c>
      <c r="AJ141" s="39">
        <f t="shared" si="85"/>
        <v>0</v>
      </c>
      <c r="AK141" s="39">
        <f t="shared" si="85"/>
        <v>0</v>
      </c>
      <c r="AL141" s="39">
        <f t="shared" si="85"/>
        <v>0</v>
      </c>
      <c r="AM141" s="39">
        <f t="shared" si="85"/>
        <v>0</v>
      </c>
    </row>
    <row r="142" spans="1:41" ht="13.5" customHeight="1" thickBot="1" x14ac:dyDescent="0.3">
      <c r="A142" s="485"/>
      <c r="B142" s="486"/>
      <c r="C142" s="487"/>
      <c r="D142" s="488"/>
      <c r="E142" s="489"/>
      <c r="F142" s="490"/>
      <c r="G142" s="491"/>
      <c r="H142" s="492"/>
      <c r="I142" s="493"/>
      <c r="J142" s="494" t="str">
        <f>"Totals for " &amp; D141 &amp;"…"</f>
        <v>Totals for Mar 16-Mar 22…</v>
      </c>
      <c r="K142" s="3">
        <v>9</v>
      </c>
      <c r="L142">
        <f t="shared" si="87"/>
        <v>1</v>
      </c>
      <c r="M142" s="46">
        <f t="shared" si="89"/>
        <v>2895</v>
      </c>
      <c r="N142" s="43">
        <f t="shared" ref="N142:AM142" si="90">SUM(N113:N141)</f>
        <v>350</v>
      </c>
      <c r="O142" s="47">
        <f t="shared" si="90"/>
        <v>225</v>
      </c>
      <c r="P142" s="47">
        <f t="shared" si="90"/>
        <v>440</v>
      </c>
      <c r="Q142" s="47">
        <f t="shared" si="90"/>
        <v>0</v>
      </c>
      <c r="R142" s="47">
        <f t="shared" si="90"/>
        <v>70</v>
      </c>
      <c r="S142" s="47">
        <f t="shared" si="90"/>
        <v>290</v>
      </c>
      <c r="T142" s="47">
        <f t="shared" si="90"/>
        <v>220</v>
      </c>
      <c r="U142" s="47">
        <f>SUM(U113:U141)</f>
        <v>155</v>
      </c>
      <c r="V142" s="47">
        <f t="shared" si="90"/>
        <v>75</v>
      </c>
      <c r="W142" s="47">
        <f t="shared" si="90"/>
        <v>140</v>
      </c>
      <c r="X142" s="47">
        <f t="shared" si="90"/>
        <v>150</v>
      </c>
      <c r="Y142" s="47">
        <f t="shared" si="90"/>
        <v>0</v>
      </c>
      <c r="Z142" s="47">
        <f t="shared" si="90"/>
        <v>140</v>
      </c>
      <c r="AA142" s="47">
        <f t="shared" si="90"/>
        <v>70</v>
      </c>
      <c r="AB142" s="47">
        <f t="shared" si="90"/>
        <v>70</v>
      </c>
      <c r="AC142" s="47">
        <f t="shared" si="90"/>
        <v>215</v>
      </c>
      <c r="AD142" s="47">
        <f t="shared" si="90"/>
        <v>145</v>
      </c>
      <c r="AE142" s="47">
        <f t="shared" si="90"/>
        <v>140</v>
      </c>
      <c r="AF142" s="43">
        <f>SUM(AF113:AF141)</f>
        <v>0</v>
      </c>
      <c r="AG142" s="47">
        <f t="shared" si="90"/>
        <v>0</v>
      </c>
      <c r="AH142" s="47">
        <f t="shared" si="90"/>
        <v>0</v>
      </c>
      <c r="AI142" s="47">
        <f t="shared" si="90"/>
        <v>0</v>
      </c>
      <c r="AJ142" s="47">
        <f t="shared" si="90"/>
        <v>0</v>
      </c>
      <c r="AK142" s="47">
        <f t="shared" si="90"/>
        <v>0</v>
      </c>
      <c r="AL142" s="47">
        <f t="shared" si="90"/>
        <v>0</v>
      </c>
      <c r="AM142" s="47">
        <f t="shared" si="90"/>
        <v>0</v>
      </c>
      <c r="AN142" s="86">
        <f>SUM(N142:AM142)</f>
        <v>2895</v>
      </c>
      <c r="AO142" s="87"/>
    </row>
    <row r="143" spans="1:41" x14ac:dyDescent="0.25">
      <c r="A143" s="496" t="s">
        <v>90</v>
      </c>
      <c r="B143" s="497" t="s">
        <v>97</v>
      </c>
      <c r="C143" s="498">
        <v>6</v>
      </c>
      <c r="D143" s="499" t="s">
        <v>211</v>
      </c>
      <c r="E143" s="500">
        <v>46104</v>
      </c>
      <c r="F143" s="501">
        <v>0.70833333333333337</v>
      </c>
      <c r="G143" s="502" t="s">
        <v>215</v>
      </c>
      <c r="H143" s="503"/>
      <c r="I143" s="504" t="s">
        <v>212</v>
      </c>
      <c r="J143" s="505" t="s">
        <v>17</v>
      </c>
      <c r="K143" s="3">
        <f t="shared" ref="K143:K145" si="91">WEEKDAY(E143)</f>
        <v>2</v>
      </c>
      <c r="L143">
        <f t="shared" si="87"/>
        <v>1</v>
      </c>
      <c r="M143" s="39">
        <f t="shared" si="89"/>
        <v>10</v>
      </c>
      <c r="N143" s="42">
        <f t="shared" ref="N143:N166" si="92">IF(H143&lt;&gt;"",20,10)</f>
        <v>10</v>
      </c>
      <c r="O143" s="39">
        <f t="shared" ref="O143:X145" si="93">IF($G143=O$1,VLOOKUP($J143,$AP:$AQ,2,FALSE),IF($H143=O$1,70,0))</f>
        <v>0</v>
      </c>
      <c r="P143" s="39">
        <f t="shared" si="93"/>
        <v>0</v>
      </c>
      <c r="Q143" s="39">
        <f t="shared" si="93"/>
        <v>0</v>
      </c>
      <c r="R143" s="39">
        <f t="shared" si="93"/>
        <v>0</v>
      </c>
      <c r="S143" s="39">
        <f t="shared" si="93"/>
        <v>0</v>
      </c>
      <c r="T143" s="39">
        <f t="shared" si="93"/>
        <v>0</v>
      </c>
      <c r="U143" s="39">
        <f t="shared" si="93"/>
        <v>0</v>
      </c>
      <c r="V143" s="39">
        <f t="shared" si="93"/>
        <v>0</v>
      </c>
      <c r="W143" s="39">
        <f t="shared" si="93"/>
        <v>0</v>
      </c>
      <c r="X143" s="39">
        <f t="shared" si="93"/>
        <v>0</v>
      </c>
      <c r="Y143" s="39">
        <f t="shared" ref="Y143:AM145" si="94">IF($G143=Y$1,VLOOKUP($J143,$AP:$AQ,2,FALSE),IF($H143=Y$1,70,0))</f>
        <v>0</v>
      </c>
      <c r="Z143" s="39">
        <f t="shared" si="94"/>
        <v>0</v>
      </c>
      <c r="AA143" s="39">
        <f t="shared" si="94"/>
        <v>0</v>
      </c>
      <c r="AB143" s="39">
        <f t="shared" si="94"/>
        <v>0</v>
      </c>
      <c r="AC143" s="39">
        <f t="shared" si="94"/>
        <v>0</v>
      </c>
      <c r="AD143" s="39">
        <f t="shared" si="94"/>
        <v>0</v>
      </c>
      <c r="AE143" s="39">
        <f t="shared" si="94"/>
        <v>0</v>
      </c>
      <c r="AF143" s="39">
        <f t="shared" si="94"/>
        <v>0</v>
      </c>
      <c r="AG143" s="39">
        <f t="shared" si="94"/>
        <v>0</v>
      </c>
      <c r="AH143" s="39">
        <f t="shared" si="94"/>
        <v>0</v>
      </c>
      <c r="AI143" s="39">
        <f t="shared" si="94"/>
        <v>0</v>
      </c>
      <c r="AJ143" s="39">
        <f t="shared" si="94"/>
        <v>0</v>
      </c>
      <c r="AK143" s="39">
        <f t="shared" si="94"/>
        <v>0</v>
      </c>
      <c r="AL143" s="39">
        <f t="shared" si="94"/>
        <v>0</v>
      </c>
      <c r="AM143" s="39">
        <f t="shared" si="94"/>
        <v>0</v>
      </c>
    </row>
    <row r="144" spans="1:41" x14ac:dyDescent="0.25">
      <c r="A144" s="25" t="s">
        <v>90</v>
      </c>
      <c r="B144" s="26" t="s">
        <v>97</v>
      </c>
      <c r="C144" s="220">
        <v>5</v>
      </c>
      <c r="D144" s="27" t="s">
        <v>211</v>
      </c>
      <c r="E144" s="32">
        <v>46104</v>
      </c>
      <c r="F144" s="181">
        <v>0.70833333333333337</v>
      </c>
      <c r="G144" s="195" t="s">
        <v>77</v>
      </c>
      <c r="H144" s="196"/>
      <c r="I144" s="153" t="s">
        <v>186</v>
      </c>
      <c r="J144" s="154" t="s">
        <v>188</v>
      </c>
      <c r="K144" s="3">
        <f t="shared" ref="K144" si="95">WEEKDAY(E144)</f>
        <v>2</v>
      </c>
      <c r="L144">
        <f t="shared" ref="L144" si="96">IF(G144=L$1,1,IF(H144=L$1,1,""))</f>
        <v>1</v>
      </c>
      <c r="M144" s="39">
        <f t="shared" ref="M144" si="97">SUM(N144:AM144)</f>
        <v>85</v>
      </c>
      <c r="N144" s="42">
        <f t="shared" ref="N144" si="98">IF(H144&lt;&gt;"",20,10)</f>
        <v>10</v>
      </c>
      <c r="O144" s="39">
        <f t="shared" si="93"/>
        <v>0</v>
      </c>
      <c r="P144" s="39">
        <f t="shared" si="93"/>
        <v>0</v>
      </c>
      <c r="Q144" s="39">
        <f t="shared" si="93"/>
        <v>0</v>
      </c>
      <c r="R144" s="39">
        <f t="shared" si="93"/>
        <v>0</v>
      </c>
      <c r="S144" s="39">
        <f t="shared" si="93"/>
        <v>0</v>
      </c>
      <c r="T144" s="39">
        <f t="shared" si="93"/>
        <v>0</v>
      </c>
      <c r="U144" s="39">
        <f t="shared" si="93"/>
        <v>0</v>
      </c>
      <c r="V144" s="39">
        <f t="shared" si="93"/>
        <v>0</v>
      </c>
      <c r="W144" s="39">
        <f t="shared" si="93"/>
        <v>0</v>
      </c>
      <c r="X144" s="39">
        <f t="shared" si="93"/>
        <v>0</v>
      </c>
      <c r="Y144" s="39">
        <f t="shared" si="94"/>
        <v>75</v>
      </c>
      <c r="Z144" s="39">
        <f t="shared" si="94"/>
        <v>0</v>
      </c>
      <c r="AA144" s="39">
        <f t="shared" si="94"/>
        <v>0</v>
      </c>
      <c r="AB144" s="39">
        <f t="shared" si="94"/>
        <v>0</v>
      </c>
      <c r="AC144" s="39">
        <f t="shared" si="94"/>
        <v>0</v>
      </c>
      <c r="AD144" s="39">
        <f t="shared" si="94"/>
        <v>0</v>
      </c>
      <c r="AE144" s="39">
        <f t="shared" si="94"/>
        <v>0</v>
      </c>
      <c r="AF144" s="39">
        <f t="shared" si="94"/>
        <v>0</v>
      </c>
      <c r="AG144" s="39">
        <f t="shared" si="94"/>
        <v>0</v>
      </c>
      <c r="AH144" s="39">
        <f t="shared" si="94"/>
        <v>0</v>
      </c>
      <c r="AI144" s="39">
        <f t="shared" si="94"/>
        <v>0</v>
      </c>
      <c r="AJ144" s="39">
        <f t="shared" si="94"/>
        <v>0</v>
      </c>
      <c r="AK144" s="39">
        <f t="shared" si="94"/>
        <v>0</v>
      </c>
      <c r="AL144" s="39">
        <f t="shared" si="94"/>
        <v>0</v>
      </c>
      <c r="AM144" s="39">
        <f t="shared" si="94"/>
        <v>0</v>
      </c>
    </row>
    <row r="145" spans="1:39" x14ac:dyDescent="0.25">
      <c r="A145" s="22" t="s">
        <v>94</v>
      </c>
      <c r="B145" s="23" t="s">
        <v>98</v>
      </c>
      <c r="C145" s="220">
        <v>5</v>
      </c>
      <c r="D145" s="24" t="s">
        <v>211</v>
      </c>
      <c r="E145" s="33">
        <v>46104</v>
      </c>
      <c r="F145" s="183">
        <v>0.70833333333333337</v>
      </c>
      <c r="G145" s="203" t="s">
        <v>18</v>
      </c>
      <c r="H145" s="196"/>
      <c r="I145" s="157" t="s">
        <v>187</v>
      </c>
      <c r="J145" s="158" t="s">
        <v>188</v>
      </c>
      <c r="K145" s="3">
        <f t="shared" si="91"/>
        <v>2</v>
      </c>
      <c r="L145">
        <f t="shared" si="87"/>
        <v>1</v>
      </c>
      <c r="M145" s="39">
        <f t="shared" si="89"/>
        <v>85</v>
      </c>
      <c r="N145" s="42">
        <f t="shared" si="92"/>
        <v>10</v>
      </c>
      <c r="O145" s="39">
        <f t="shared" si="93"/>
        <v>0</v>
      </c>
      <c r="P145" s="39">
        <f t="shared" si="93"/>
        <v>75</v>
      </c>
      <c r="Q145" s="39">
        <f t="shared" si="93"/>
        <v>0</v>
      </c>
      <c r="R145" s="39">
        <f t="shared" si="93"/>
        <v>0</v>
      </c>
      <c r="S145" s="39">
        <f t="shared" si="93"/>
        <v>0</v>
      </c>
      <c r="T145" s="39">
        <f t="shared" si="93"/>
        <v>0</v>
      </c>
      <c r="U145" s="39">
        <f t="shared" si="93"/>
        <v>0</v>
      </c>
      <c r="V145" s="39">
        <f t="shared" si="93"/>
        <v>0</v>
      </c>
      <c r="W145" s="39">
        <f t="shared" si="93"/>
        <v>0</v>
      </c>
      <c r="X145" s="39">
        <f t="shared" si="93"/>
        <v>0</v>
      </c>
      <c r="Y145" s="39">
        <f t="shared" si="94"/>
        <v>0</v>
      </c>
      <c r="Z145" s="39">
        <f t="shared" si="94"/>
        <v>0</v>
      </c>
      <c r="AA145" s="39">
        <f t="shared" si="94"/>
        <v>0</v>
      </c>
      <c r="AB145" s="39">
        <f t="shared" si="94"/>
        <v>0</v>
      </c>
      <c r="AC145" s="39">
        <f t="shared" si="94"/>
        <v>0</v>
      </c>
      <c r="AD145" s="39">
        <f t="shared" si="94"/>
        <v>0</v>
      </c>
      <c r="AE145" s="39">
        <f t="shared" si="94"/>
        <v>0</v>
      </c>
      <c r="AF145" s="39">
        <f t="shared" si="94"/>
        <v>0</v>
      </c>
      <c r="AG145" s="39">
        <f t="shared" si="94"/>
        <v>0</v>
      </c>
      <c r="AH145" s="39">
        <f t="shared" si="94"/>
        <v>0</v>
      </c>
      <c r="AI145" s="39">
        <f t="shared" si="94"/>
        <v>0</v>
      </c>
      <c r="AJ145" s="39">
        <f t="shared" si="94"/>
        <v>0</v>
      </c>
      <c r="AK145" s="39">
        <f t="shared" si="94"/>
        <v>0</v>
      </c>
      <c r="AL145" s="39">
        <f t="shared" si="94"/>
        <v>0</v>
      </c>
      <c r="AM145" s="39">
        <f t="shared" si="94"/>
        <v>0</v>
      </c>
    </row>
    <row r="146" spans="1:39" x14ac:dyDescent="0.25">
      <c r="A146" s="406" t="s">
        <v>194</v>
      </c>
      <c r="B146" s="407" t="s">
        <v>195</v>
      </c>
      <c r="C146" s="423">
        <v>5</v>
      </c>
      <c r="D146" s="408" t="s">
        <v>211</v>
      </c>
      <c r="E146" s="409">
        <v>46104</v>
      </c>
      <c r="F146" s="410">
        <v>0.75</v>
      </c>
      <c r="G146" s="411" t="s">
        <v>104</v>
      </c>
      <c r="H146" s="411"/>
      <c r="I146" s="412" t="s">
        <v>196</v>
      </c>
      <c r="J146" s="413" t="s">
        <v>196</v>
      </c>
      <c r="K146" s="3"/>
      <c r="L146">
        <f>IF(G146=L$1,1,IF(H146=L$1,1,""))</f>
        <v>1</v>
      </c>
      <c r="M146" s="39">
        <f t="shared" si="89"/>
        <v>95</v>
      </c>
      <c r="N146" s="42">
        <f t="shared" si="92"/>
        <v>10</v>
      </c>
      <c r="O146" s="39">
        <f t="shared" ref="O146:P177" si="99">IF($G146=O$1,VLOOKUP($J146,$AP:$AQ,2,FALSE),IF($H146=O$1,70,0))</f>
        <v>0</v>
      </c>
      <c r="P146" s="39">
        <f t="shared" si="99"/>
        <v>0</v>
      </c>
      <c r="Q146" s="39"/>
      <c r="R146" s="39">
        <f t="shared" ref="R146:AA155" si="100">IF($G146=R$1,VLOOKUP($J146,$AP:$AQ,2,FALSE),IF($H146=R$1,70,0))</f>
        <v>0</v>
      </c>
      <c r="S146" s="39">
        <f t="shared" si="100"/>
        <v>0</v>
      </c>
      <c r="T146" s="39">
        <f t="shared" si="100"/>
        <v>0</v>
      </c>
      <c r="U146" s="39">
        <f t="shared" si="100"/>
        <v>85</v>
      </c>
      <c r="V146" s="39">
        <f t="shared" si="100"/>
        <v>0</v>
      </c>
      <c r="W146" s="39">
        <f t="shared" si="100"/>
        <v>0</v>
      </c>
      <c r="X146" s="39">
        <f t="shared" si="100"/>
        <v>0</v>
      </c>
      <c r="Y146" s="39">
        <f t="shared" si="100"/>
        <v>0</v>
      </c>
      <c r="Z146" s="39">
        <f t="shared" si="100"/>
        <v>0</v>
      </c>
      <c r="AA146" s="39">
        <f t="shared" si="100"/>
        <v>0</v>
      </c>
      <c r="AB146" s="39">
        <f t="shared" ref="AB146:AM155" si="101">IF($G146=AB$1,VLOOKUP($J146,$AP:$AQ,2,FALSE),IF($H146=AB$1,70,0))</f>
        <v>0</v>
      </c>
      <c r="AC146" s="39">
        <f t="shared" si="101"/>
        <v>0</v>
      </c>
      <c r="AD146" s="39">
        <f t="shared" si="101"/>
        <v>0</v>
      </c>
      <c r="AE146" s="39">
        <f t="shared" si="101"/>
        <v>0</v>
      </c>
      <c r="AF146" s="39">
        <f t="shared" si="101"/>
        <v>0</v>
      </c>
      <c r="AG146" s="39">
        <f t="shared" si="101"/>
        <v>0</v>
      </c>
      <c r="AH146" s="39">
        <f t="shared" si="101"/>
        <v>0</v>
      </c>
      <c r="AI146" s="39">
        <f t="shared" si="101"/>
        <v>0</v>
      </c>
      <c r="AJ146" s="39">
        <f t="shared" si="101"/>
        <v>0</v>
      </c>
      <c r="AK146" s="39">
        <f t="shared" si="101"/>
        <v>0</v>
      </c>
      <c r="AL146" s="39">
        <f t="shared" si="101"/>
        <v>0</v>
      </c>
      <c r="AM146" s="39">
        <f t="shared" si="101"/>
        <v>0</v>
      </c>
    </row>
    <row r="147" spans="1:39" x14ac:dyDescent="0.25">
      <c r="A147" s="446" t="s">
        <v>90</v>
      </c>
      <c r="B147" s="447" t="s">
        <v>97</v>
      </c>
      <c r="C147" s="448">
        <v>6</v>
      </c>
      <c r="D147" s="449" t="s">
        <v>211</v>
      </c>
      <c r="E147" s="450">
        <v>46105</v>
      </c>
      <c r="F147" s="451">
        <v>0.70833333333333337</v>
      </c>
      <c r="G147" s="458" t="s">
        <v>74</v>
      </c>
      <c r="H147" s="445"/>
      <c r="I147" s="459" t="s">
        <v>212</v>
      </c>
      <c r="J147" s="460" t="s">
        <v>17</v>
      </c>
      <c r="K147" s="3">
        <f t="shared" ref="K147" si="102">WEEKDAY(E147)</f>
        <v>3</v>
      </c>
      <c r="L147">
        <f t="shared" ref="L147" si="103">IF(G147=L$1,1,IF(H147=L$1,1,""))</f>
        <v>1</v>
      </c>
      <c r="M147" s="39">
        <f t="shared" ref="M147" si="104">SUM(N147:AM147)</f>
        <v>60</v>
      </c>
      <c r="N147" s="42">
        <f t="shared" ref="N147" si="105">IF(H147&lt;&gt;"",20,10)</f>
        <v>10</v>
      </c>
      <c r="O147" s="39">
        <f t="shared" si="99"/>
        <v>0</v>
      </c>
      <c r="P147" s="39">
        <f t="shared" si="99"/>
        <v>0</v>
      </c>
      <c r="Q147" s="39">
        <f t="shared" ref="Q147:Q177" si="106">IF($G147=Q$1,VLOOKUP($J147,$AP:$AQ,2,FALSE),IF($H147=Q$1,70,0))</f>
        <v>0</v>
      </c>
      <c r="R147" s="39">
        <f t="shared" si="100"/>
        <v>0</v>
      </c>
      <c r="S147" s="39">
        <f t="shared" si="100"/>
        <v>0</v>
      </c>
      <c r="T147" s="39">
        <f t="shared" si="100"/>
        <v>0</v>
      </c>
      <c r="U147" s="39">
        <f t="shared" si="100"/>
        <v>0</v>
      </c>
      <c r="V147" s="39">
        <f t="shared" si="100"/>
        <v>0</v>
      </c>
      <c r="W147" s="39">
        <f t="shared" si="100"/>
        <v>0</v>
      </c>
      <c r="X147" s="39">
        <f t="shared" si="100"/>
        <v>0</v>
      </c>
      <c r="Y147" s="39">
        <f t="shared" si="100"/>
        <v>0</v>
      </c>
      <c r="Z147" s="39">
        <f t="shared" si="100"/>
        <v>0</v>
      </c>
      <c r="AA147" s="39">
        <f t="shared" si="100"/>
        <v>50</v>
      </c>
      <c r="AB147" s="39">
        <f t="shared" si="101"/>
        <v>0</v>
      </c>
      <c r="AC147" s="39">
        <f t="shared" si="101"/>
        <v>0</v>
      </c>
      <c r="AD147" s="39">
        <f t="shared" si="101"/>
        <v>0</v>
      </c>
      <c r="AE147" s="39">
        <f t="shared" si="101"/>
        <v>0</v>
      </c>
      <c r="AF147" s="39">
        <f t="shared" si="101"/>
        <v>0</v>
      </c>
      <c r="AG147" s="39">
        <f t="shared" si="101"/>
        <v>0</v>
      </c>
      <c r="AH147" s="39">
        <f t="shared" si="101"/>
        <v>0</v>
      </c>
      <c r="AI147" s="39">
        <f t="shared" si="101"/>
        <v>0</v>
      </c>
      <c r="AJ147" s="39">
        <f t="shared" si="101"/>
        <v>0</v>
      </c>
      <c r="AK147" s="39">
        <f t="shared" si="101"/>
        <v>0</v>
      </c>
      <c r="AL147" s="39">
        <f t="shared" si="101"/>
        <v>0</v>
      </c>
      <c r="AM147" s="39">
        <f t="shared" si="101"/>
        <v>0</v>
      </c>
    </row>
    <row r="148" spans="1:39" x14ac:dyDescent="0.25">
      <c r="A148" s="16" t="s">
        <v>95</v>
      </c>
      <c r="B148" s="17" t="s">
        <v>99</v>
      </c>
      <c r="C148" s="259">
        <v>5</v>
      </c>
      <c r="D148" s="18" t="s">
        <v>211</v>
      </c>
      <c r="E148" s="36">
        <v>46105</v>
      </c>
      <c r="F148" s="185">
        <v>0.6875</v>
      </c>
      <c r="G148" s="199" t="s">
        <v>18</v>
      </c>
      <c r="H148" s="196"/>
      <c r="I148" s="161" t="s">
        <v>186</v>
      </c>
      <c r="J148" s="162" t="s">
        <v>188</v>
      </c>
      <c r="K148" s="3">
        <f t="shared" ref="K148:K166" si="107">WEEKDAY(E148)</f>
        <v>3</v>
      </c>
      <c r="L148">
        <f t="shared" ref="L148:L166" si="108">IF(G148=L$1,1,IF(H148=L$1,1,""))</f>
        <v>1</v>
      </c>
      <c r="M148" s="39">
        <f t="shared" si="89"/>
        <v>85</v>
      </c>
      <c r="N148" s="42">
        <f t="shared" si="92"/>
        <v>10</v>
      </c>
      <c r="O148" s="39">
        <f t="shared" si="99"/>
        <v>0</v>
      </c>
      <c r="P148" s="39">
        <f t="shared" si="99"/>
        <v>75</v>
      </c>
      <c r="Q148" s="39">
        <f t="shared" si="106"/>
        <v>0</v>
      </c>
      <c r="R148" s="39">
        <f t="shared" si="100"/>
        <v>0</v>
      </c>
      <c r="S148" s="39">
        <f t="shared" si="100"/>
        <v>0</v>
      </c>
      <c r="T148" s="39">
        <f t="shared" si="100"/>
        <v>0</v>
      </c>
      <c r="U148" s="39">
        <f t="shared" si="100"/>
        <v>0</v>
      </c>
      <c r="V148" s="39">
        <f t="shared" si="100"/>
        <v>0</v>
      </c>
      <c r="W148" s="39">
        <f t="shared" si="100"/>
        <v>0</v>
      </c>
      <c r="X148" s="39">
        <f t="shared" si="100"/>
        <v>0</v>
      </c>
      <c r="Y148" s="39">
        <f t="shared" si="100"/>
        <v>0</v>
      </c>
      <c r="Z148" s="39">
        <f t="shared" si="100"/>
        <v>0</v>
      </c>
      <c r="AA148" s="39">
        <f t="shared" si="100"/>
        <v>0</v>
      </c>
      <c r="AB148" s="39">
        <f t="shared" si="101"/>
        <v>0</v>
      </c>
      <c r="AC148" s="39">
        <f t="shared" si="101"/>
        <v>0</v>
      </c>
      <c r="AD148" s="39">
        <f t="shared" si="101"/>
        <v>0</v>
      </c>
      <c r="AE148" s="39">
        <f t="shared" si="101"/>
        <v>0</v>
      </c>
      <c r="AF148" s="39">
        <f t="shared" si="101"/>
        <v>0</v>
      </c>
      <c r="AG148" s="39">
        <f t="shared" si="101"/>
        <v>0</v>
      </c>
      <c r="AH148" s="39">
        <f t="shared" si="101"/>
        <v>0</v>
      </c>
      <c r="AI148" s="39">
        <f t="shared" si="101"/>
        <v>0</v>
      </c>
      <c r="AJ148" s="39">
        <f t="shared" si="101"/>
        <v>0</v>
      </c>
      <c r="AK148" s="39">
        <f t="shared" si="101"/>
        <v>0</v>
      </c>
      <c r="AL148" s="39">
        <f t="shared" si="101"/>
        <v>0</v>
      </c>
      <c r="AM148" s="39">
        <f t="shared" si="101"/>
        <v>0</v>
      </c>
    </row>
    <row r="149" spans="1:39" x14ac:dyDescent="0.25">
      <c r="A149" s="13" t="s">
        <v>96</v>
      </c>
      <c r="B149" s="14" t="s">
        <v>93</v>
      </c>
      <c r="C149" s="250">
        <v>5</v>
      </c>
      <c r="D149" s="15" t="s">
        <v>211</v>
      </c>
      <c r="E149" s="35">
        <v>46105</v>
      </c>
      <c r="F149" s="184">
        <v>0.79166666666666663</v>
      </c>
      <c r="G149" s="198" t="s">
        <v>19</v>
      </c>
      <c r="H149" s="198" t="s">
        <v>18</v>
      </c>
      <c r="I149" s="159" t="s">
        <v>186</v>
      </c>
      <c r="J149" s="160" t="s">
        <v>190</v>
      </c>
      <c r="K149" s="3">
        <f t="shared" si="107"/>
        <v>3</v>
      </c>
      <c r="L149" t="str">
        <f t="shared" si="108"/>
        <v/>
      </c>
      <c r="M149" s="39">
        <f t="shared" si="89"/>
        <v>165</v>
      </c>
      <c r="N149" s="42">
        <f t="shared" si="92"/>
        <v>20</v>
      </c>
      <c r="O149" s="39">
        <f t="shared" si="99"/>
        <v>75</v>
      </c>
      <c r="P149" s="39">
        <f t="shared" si="99"/>
        <v>70</v>
      </c>
      <c r="Q149" s="39">
        <f t="shared" si="106"/>
        <v>0</v>
      </c>
      <c r="R149" s="39">
        <f t="shared" si="100"/>
        <v>0</v>
      </c>
      <c r="S149" s="39">
        <f t="shared" si="100"/>
        <v>0</v>
      </c>
      <c r="T149" s="39">
        <f t="shared" si="100"/>
        <v>0</v>
      </c>
      <c r="U149" s="39">
        <f t="shared" si="100"/>
        <v>0</v>
      </c>
      <c r="V149" s="39">
        <f t="shared" si="100"/>
        <v>0</v>
      </c>
      <c r="W149" s="39">
        <f t="shared" si="100"/>
        <v>0</v>
      </c>
      <c r="X149" s="39">
        <f t="shared" si="100"/>
        <v>0</v>
      </c>
      <c r="Y149" s="39">
        <f t="shared" si="100"/>
        <v>0</v>
      </c>
      <c r="Z149" s="39">
        <f t="shared" si="100"/>
        <v>0</v>
      </c>
      <c r="AA149" s="39">
        <f t="shared" si="100"/>
        <v>0</v>
      </c>
      <c r="AB149" s="39">
        <f t="shared" si="101"/>
        <v>0</v>
      </c>
      <c r="AC149" s="39">
        <f t="shared" si="101"/>
        <v>0</v>
      </c>
      <c r="AD149" s="39">
        <f t="shared" si="101"/>
        <v>0</v>
      </c>
      <c r="AE149" s="39">
        <f t="shared" si="101"/>
        <v>0</v>
      </c>
      <c r="AF149" s="39">
        <f t="shared" si="101"/>
        <v>0</v>
      </c>
      <c r="AG149" s="39">
        <f t="shared" si="101"/>
        <v>0</v>
      </c>
      <c r="AH149" s="39">
        <f t="shared" si="101"/>
        <v>0</v>
      </c>
      <c r="AI149" s="39">
        <f t="shared" si="101"/>
        <v>0</v>
      </c>
      <c r="AJ149" s="39">
        <f t="shared" si="101"/>
        <v>0</v>
      </c>
      <c r="AK149" s="39">
        <f t="shared" si="101"/>
        <v>0</v>
      </c>
      <c r="AL149" s="39">
        <f t="shared" si="101"/>
        <v>0</v>
      </c>
      <c r="AM149" s="39">
        <f t="shared" si="101"/>
        <v>0</v>
      </c>
    </row>
    <row r="150" spans="1:39" x14ac:dyDescent="0.25">
      <c r="A150" s="19" t="s">
        <v>99</v>
      </c>
      <c r="B150" s="20" t="s">
        <v>94</v>
      </c>
      <c r="C150" s="311">
        <v>5</v>
      </c>
      <c r="D150" s="21" t="s">
        <v>211</v>
      </c>
      <c r="E150" s="34">
        <v>46105</v>
      </c>
      <c r="F150" s="188">
        <v>0.6875</v>
      </c>
      <c r="G150" s="204" t="s">
        <v>216</v>
      </c>
      <c r="H150" s="196"/>
      <c r="I150" s="167" t="s">
        <v>187</v>
      </c>
      <c r="J150" s="168" t="s">
        <v>189</v>
      </c>
      <c r="K150" s="3">
        <f t="shared" si="107"/>
        <v>3</v>
      </c>
      <c r="L150">
        <f t="shared" si="108"/>
        <v>1</v>
      </c>
      <c r="M150" s="39">
        <f t="shared" si="89"/>
        <v>10</v>
      </c>
      <c r="N150" s="42">
        <f t="shared" si="92"/>
        <v>10</v>
      </c>
      <c r="O150" s="39">
        <f t="shared" si="99"/>
        <v>0</v>
      </c>
      <c r="P150" s="39">
        <f t="shared" si="99"/>
        <v>0</v>
      </c>
      <c r="Q150" s="39">
        <f t="shared" si="106"/>
        <v>0</v>
      </c>
      <c r="R150" s="39">
        <f t="shared" si="100"/>
        <v>0</v>
      </c>
      <c r="S150" s="39">
        <f t="shared" si="100"/>
        <v>0</v>
      </c>
      <c r="T150" s="39">
        <f t="shared" si="100"/>
        <v>0</v>
      </c>
      <c r="U150" s="39">
        <f t="shared" si="100"/>
        <v>0</v>
      </c>
      <c r="V150" s="39">
        <f t="shared" si="100"/>
        <v>0</v>
      </c>
      <c r="W150" s="39">
        <f t="shared" si="100"/>
        <v>0</v>
      </c>
      <c r="X150" s="39">
        <f t="shared" si="100"/>
        <v>0</v>
      </c>
      <c r="Y150" s="39">
        <f t="shared" si="100"/>
        <v>0</v>
      </c>
      <c r="Z150" s="39">
        <f t="shared" si="100"/>
        <v>0</v>
      </c>
      <c r="AA150" s="39">
        <f t="shared" si="100"/>
        <v>0</v>
      </c>
      <c r="AB150" s="39">
        <f t="shared" si="101"/>
        <v>0</v>
      </c>
      <c r="AC150" s="39">
        <f t="shared" si="101"/>
        <v>0</v>
      </c>
      <c r="AD150" s="39">
        <f t="shared" si="101"/>
        <v>0</v>
      </c>
      <c r="AE150" s="39">
        <f t="shared" si="101"/>
        <v>0</v>
      </c>
      <c r="AF150" s="39">
        <f t="shared" si="101"/>
        <v>0</v>
      </c>
      <c r="AG150" s="39">
        <f t="shared" si="101"/>
        <v>0</v>
      </c>
      <c r="AH150" s="39">
        <f t="shared" si="101"/>
        <v>0</v>
      </c>
      <c r="AI150" s="39">
        <f t="shared" si="101"/>
        <v>0</v>
      </c>
      <c r="AJ150" s="39">
        <f t="shared" si="101"/>
        <v>0</v>
      </c>
      <c r="AK150" s="39">
        <f t="shared" si="101"/>
        <v>0</v>
      </c>
      <c r="AL150" s="39">
        <f t="shared" si="101"/>
        <v>0</v>
      </c>
      <c r="AM150" s="39">
        <f t="shared" si="101"/>
        <v>0</v>
      </c>
    </row>
    <row r="151" spans="1:39" x14ac:dyDescent="0.25">
      <c r="A151" s="16" t="s">
        <v>89</v>
      </c>
      <c r="B151" s="17" t="s">
        <v>93</v>
      </c>
      <c r="C151" s="259">
        <v>5</v>
      </c>
      <c r="D151" s="18" t="s">
        <v>211</v>
      </c>
      <c r="E151" s="36">
        <v>46105</v>
      </c>
      <c r="F151" s="185">
        <v>0.79166666666666663</v>
      </c>
      <c r="G151" s="199" t="s">
        <v>21</v>
      </c>
      <c r="H151" s="196"/>
      <c r="I151" s="161" t="s">
        <v>187</v>
      </c>
      <c r="J151" s="162" t="s">
        <v>188</v>
      </c>
      <c r="K151" s="3">
        <f t="shared" si="107"/>
        <v>3</v>
      </c>
      <c r="L151">
        <f t="shared" si="108"/>
        <v>1</v>
      </c>
      <c r="M151" s="39">
        <f t="shared" si="89"/>
        <v>85</v>
      </c>
      <c r="N151" s="42">
        <f t="shared" si="92"/>
        <v>10</v>
      </c>
      <c r="O151" s="39">
        <f t="shared" si="99"/>
        <v>0</v>
      </c>
      <c r="P151" s="39">
        <f t="shared" si="99"/>
        <v>0</v>
      </c>
      <c r="Q151" s="39">
        <f t="shared" si="106"/>
        <v>0</v>
      </c>
      <c r="R151" s="39">
        <f t="shared" si="100"/>
        <v>0</v>
      </c>
      <c r="S151" s="39">
        <f t="shared" si="100"/>
        <v>0</v>
      </c>
      <c r="T151" s="39">
        <f t="shared" si="100"/>
        <v>0</v>
      </c>
      <c r="U151" s="39">
        <f t="shared" si="100"/>
        <v>0</v>
      </c>
      <c r="V151" s="39">
        <f t="shared" si="100"/>
        <v>75</v>
      </c>
      <c r="W151" s="39">
        <f t="shared" si="100"/>
        <v>0</v>
      </c>
      <c r="X151" s="39">
        <f t="shared" si="100"/>
        <v>0</v>
      </c>
      <c r="Y151" s="39">
        <f t="shared" si="100"/>
        <v>0</v>
      </c>
      <c r="Z151" s="39">
        <f t="shared" si="100"/>
        <v>0</v>
      </c>
      <c r="AA151" s="39">
        <f t="shared" si="100"/>
        <v>0</v>
      </c>
      <c r="AB151" s="39">
        <f t="shared" si="101"/>
        <v>0</v>
      </c>
      <c r="AC151" s="39">
        <f t="shared" si="101"/>
        <v>0</v>
      </c>
      <c r="AD151" s="39">
        <f t="shared" si="101"/>
        <v>0</v>
      </c>
      <c r="AE151" s="39">
        <f t="shared" si="101"/>
        <v>0</v>
      </c>
      <c r="AF151" s="39">
        <f t="shared" si="101"/>
        <v>0</v>
      </c>
      <c r="AG151" s="39">
        <f t="shared" si="101"/>
        <v>0</v>
      </c>
      <c r="AH151" s="39">
        <f t="shared" si="101"/>
        <v>0</v>
      </c>
      <c r="AI151" s="39">
        <f t="shared" si="101"/>
        <v>0</v>
      </c>
      <c r="AJ151" s="39">
        <f t="shared" si="101"/>
        <v>0</v>
      </c>
      <c r="AK151" s="39">
        <f t="shared" si="101"/>
        <v>0</v>
      </c>
      <c r="AL151" s="39">
        <f t="shared" si="101"/>
        <v>0</v>
      </c>
      <c r="AM151" s="39">
        <f t="shared" si="101"/>
        <v>0</v>
      </c>
    </row>
    <row r="152" spans="1:39" x14ac:dyDescent="0.25">
      <c r="A152" s="452" t="s">
        <v>90</v>
      </c>
      <c r="B152" s="453" t="s">
        <v>97</v>
      </c>
      <c r="C152" s="454">
        <v>6</v>
      </c>
      <c r="D152" s="455" t="s">
        <v>211</v>
      </c>
      <c r="E152" s="456">
        <v>46106</v>
      </c>
      <c r="F152" s="457">
        <v>0.70833333333333337</v>
      </c>
      <c r="G152" s="458" t="s">
        <v>111</v>
      </c>
      <c r="H152" s="445"/>
      <c r="I152" s="459" t="s">
        <v>212</v>
      </c>
      <c r="J152" s="460" t="s">
        <v>17</v>
      </c>
      <c r="K152" s="3">
        <f t="shared" si="107"/>
        <v>4</v>
      </c>
      <c r="L152">
        <f t="shared" si="108"/>
        <v>1</v>
      </c>
      <c r="M152" s="39">
        <f t="shared" si="89"/>
        <v>60</v>
      </c>
      <c r="N152" s="42">
        <f t="shared" si="92"/>
        <v>10</v>
      </c>
      <c r="O152" s="39">
        <f t="shared" si="99"/>
        <v>0</v>
      </c>
      <c r="P152" s="39">
        <f t="shared" si="99"/>
        <v>0</v>
      </c>
      <c r="Q152" s="39">
        <f t="shared" si="106"/>
        <v>0</v>
      </c>
      <c r="R152" s="39">
        <f t="shared" si="100"/>
        <v>0</v>
      </c>
      <c r="S152" s="39">
        <f t="shared" si="100"/>
        <v>0</v>
      </c>
      <c r="T152" s="39">
        <f t="shared" si="100"/>
        <v>0</v>
      </c>
      <c r="U152" s="39">
        <f t="shared" si="100"/>
        <v>0</v>
      </c>
      <c r="V152" s="39">
        <f t="shared" si="100"/>
        <v>0</v>
      </c>
      <c r="W152" s="39">
        <f t="shared" si="100"/>
        <v>0</v>
      </c>
      <c r="X152" s="39">
        <f t="shared" si="100"/>
        <v>0</v>
      </c>
      <c r="Y152" s="39">
        <f t="shared" si="100"/>
        <v>0</v>
      </c>
      <c r="Z152" s="39">
        <f t="shared" si="100"/>
        <v>0</v>
      </c>
      <c r="AA152" s="39">
        <f t="shared" si="100"/>
        <v>0</v>
      </c>
      <c r="AB152" s="39">
        <f t="shared" si="101"/>
        <v>0</v>
      </c>
      <c r="AC152" s="39">
        <f t="shared" si="101"/>
        <v>0</v>
      </c>
      <c r="AD152" s="39">
        <f t="shared" si="101"/>
        <v>0</v>
      </c>
      <c r="AE152" s="39">
        <f t="shared" si="101"/>
        <v>0</v>
      </c>
      <c r="AF152" s="39">
        <f t="shared" si="101"/>
        <v>0</v>
      </c>
      <c r="AG152" s="39">
        <f t="shared" si="101"/>
        <v>0</v>
      </c>
      <c r="AH152" s="39">
        <f t="shared" si="101"/>
        <v>0</v>
      </c>
      <c r="AI152" s="39">
        <f t="shared" si="101"/>
        <v>0</v>
      </c>
      <c r="AJ152" s="39">
        <f t="shared" si="101"/>
        <v>0</v>
      </c>
      <c r="AK152" s="39">
        <f t="shared" si="101"/>
        <v>0</v>
      </c>
      <c r="AL152" s="39">
        <f t="shared" si="101"/>
        <v>0</v>
      </c>
      <c r="AM152" s="39">
        <f t="shared" si="101"/>
        <v>50</v>
      </c>
    </row>
    <row r="153" spans="1:39" x14ac:dyDescent="0.25">
      <c r="A153" s="49" t="s">
        <v>97</v>
      </c>
      <c r="B153" s="50" t="s">
        <v>89</v>
      </c>
      <c r="C153" s="233">
        <v>5</v>
      </c>
      <c r="D153" s="51" t="s">
        <v>211</v>
      </c>
      <c r="E153" s="52">
        <v>46106</v>
      </c>
      <c r="F153" s="182">
        <v>0.70833333333333337</v>
      </c>
      <c r="G153" s="197" t="s">
        <v>104</v>
      </c>
      <c r="H153" s="197" t="s">
        <v>21</v>
      </c>
      <c r="I153" s="155" t="s">
        <v>186</v>
      </c>
      <c r="J153" s="156" t="s">
        <v>190</v>
      </c>
      <c r="K153" s="3">
        <f t="shared" si="107"/>
        <v>4</v>
      </c>
      <c r="L153" t="str">
        <f t="shared" si="108"/>
        <v/>
      </c>
      <c r="M153" s="39">
        <f t="shared" si="89"/>
        <v>165</v>
      </c>
      <c r="N153" s="42">
        <f t="shared" si="92"/>
        <v>20</v>
      </c>
      <c r="O153" s="39">
        <f t="shared" si="99"/>
        <v>0</v>
      </c>
      <c r="P153" s="39">
        <f t="shared" si="99"/>
        <v>0</v>
      </c>
      <c r="Q153" s="39">
        <f t="shared" si="106"/>
        <v>0</v>
      </c>
      <c r="R153" s="39">
        <f t="shared" si="100"/>
        <v>0</v>
      </c>
      <c r="S153" s="39">
        <f t="shared" si="100"/>
        <v>0</v>
      </c>
      <c r="T153" s="39">
        <f t="shared" si="100"/>
        <v>0</v>
      </c>
      <c r="U153" s="39">
        <f t="shared" si="100"/>
        <v>75</v>
      </c>
      <c r="V153" s="39">
        <f t="shared" si="100"/>
        <v>70</v>
      </c>
      <c r="W153" s="39">
        <f t="shared" si="100"/>
        <v>0</v>
      </c>
      <c r="X153" s="39">
        <f t="shared" si="100"/>
        <v>0</v>
      </c>
      <c r="Y153" s="39">
        <f t="shared" si="100"/>
        <v>0</v>
      </c>
      <c r="Z153" s="39">
        <f t="shared" si="100"/>
        <v>0</v>
      </c>
      <c r="AA153" s="39">
        <f t="shared" si="100"/>
        <v>0</v>
      </c>
      <c r="AB153" s="39">
        <f t="shared" si="101"/>
        <v>0</v>
      </c>
      <c r="AC153" s="39">
        <f t="shared" si="101"/>
        <v>0</v>
      </c>
      <c r="AD153" s="39">
        <f t="shared" si="101"/>
        <v>0</v>
      </c>
      <c r="AE153" s="39">
        <f t="shared" si="101"/>
        <v>0</v>
      </c>
      <c r="AF153" s="39">
        <f t="shared" si="101"/>
        <v>0</v>
      </c>
      <c r="AG153" s="39">
        <f t="shared" si="101"/>
        <v>0</v>
      </c>
      <c r="AH153" s="39">
        <f t="shared" si="101"/>
        <v>0</v>
      </c>
      <c r="AI153" s="39">
        <f t="shared" si="101"/>
        <v>0</v>
      </c>
      <c r="AJ153" s="39">
        <f t="shared" si="101"/>
        <v>0</v>
      </c>
      <c r="AK153" s="39">
        <f t="shared" si="101"/>
        <v>0</v>
      </c>
      <c r="AL153" s="39">
        <f t="shared" si="101"/>
        <v>0</v>
      </c>
      <c r="AM153" s="39">
        <f t="shared" si="101"/>
        <v>0</v>
      </c>
    </row>
    <row r="154" spans="1:39" x14ac:dyDescent="0.25">
      <c r="A154" s="53" t="s">
        <v>98</v>
      </c>
      <c r="B154" s="54" t="s">
        <v>100</v>
      </c>
      <c r="C154" s="320">
        <v>5</v>
      </c>
      <c r="D154" s="55" t="s">
        <v>211</v>
      </c>
      <c r="E154" s="56">
        <v>46106</v>
      </c>
      <c r="F154" s="189">
        <v>0.70833333333333337</v>
      </c>
      <c r="G154" s="205" t="s">
        <v>74</v>
      </c>
      <c r="H154" s="196"/>
      <c r="I154" s="169" t="s">
        <v>187</v>
      </c>
      <c r="J154" s="170" t="s">
        <v>189</v>
      </c>
      <c r="K154" s="3">
        <f t="shared" si="107"/>
        <v>4</v>
      </c>
      <c r="L154">
        <f t="shared" si="108"/>
        <v>1</v>
      </c>
      <c r="M154" s="39">
        <f t="shared" si="89"/>
        <v>80</v>
      </c>
      <c r="N154" s="42">
        <f t="shared" si="92"/>
        <v>10</v>
      </c>
      <c r="O154" s="39">
        <f t="shared" si="99"/>
        <v>0</v>
      </c>
      <c r="P154" s="39">
        <f t="shared" si="99"/>
        <v>0</v>
      </c>
      <c r="Q154" s="39">
        <f t="shared" si="106"/>
        <v>0</v>
      </c>
      <c r="R154" s="39">
        <f t="shared" si="100"/>
        <v>0</v>
      </c>
      <c r="S154" s="39">
        <f t="shared" si="100"/>
        <v>0</v>
      </c>
      <c r="T154" s="39">
        <f t="shared" si="100"/>
        <v>0</v>
      </c>
      <c r="U154" s="39">
        <f t="shared" si="100"/>
        <v>0</v>
      </c>
      <c r="V154" s="39">
        <f t="shared" si="100"/>
        <v>0</v>
      </c>
      <c r="W154" s="39">
        <f t="shared" si="100"/>
        <v>0</v>
      </c>
      <c r="X154" s="39">
        <f t="shared" si="100"/>
        <v>0</v>
      </c>
      <c r="Y154" s="39">
        <f t="shared" si="100"/>
        <v>0</v>
      </c>
      <c r="Z154" s="39">
        <f t="shared" si="100"/>
        <v>0</v>
      </c>
      <c r="AA154" s="39">
        <f t="shared" si="100"/>
        <v>70</v>
      </c>
      <c r="AB154" s="39">
        <f t="shared" si="101"/>
        <v>0</v>
      </c>
      <c r="AC154" s="39">
        <f t="shared" si="101"/>
        <v>0</v>
      </c>
      <c r="AD154" s="39">
        <f t="shared" si="101"/>
        <v>0</v>
      </c>
      <c r="AE154" s="39">
        <f t="shared" si="101"/>
        <v>0</v>
      </c>
      <c r="AF154" s="39">
        <f t="shared" si="101"/>
        <v>0</v>
      </c>
      <c r="AG154" s="39">
        <f t="shared" si="101"/>
        <v>0</v>
      </c>
      <c r="AH154" s="39">
        <f t="shared" si="101"/>
        <v>0</v>
      </c>
      <c r="AI154" s="39">
        <f t="shared" si="101"/>
        <v>0</v>
      </c>
      <c r="AJ154" s="39">
        <f t="shared" si="101"/>
        <v>0</v>
      </c>
      <c r="AK154" s="39">
        <f t="shared" si="101"/>
        <v>0</v>
      </c>
      <c r="AL154" s="39">
        <f t="shared" si="101"/>
        <v>0</v>
      </c>
      <c r="AM154" s="39">
        <f t="shared" si="101"/>
        <v>0</v>
      </c>
    </row>
    <row r="155" spans="1:39" x14ac:dyDescent="0.25">
      <c r="A155" s="446" t="s">
        <v>90</v>
      </c>
      <c r="B155" s="447" t="s">
        <v>97</v>
      </c>
      <c r="C155" s="448">
        <v>6</v>
      </c>
      <c r="D155" s="449" t="s">
        <v>211</v>
      </c>
      <c r="E155" s="450">
        <v>46107</v>
      </c>
      <c r="F155" s="451">
        <v>0.70833333333333337</v>
      </c>
      <c r="G155" s="458" t="s">
        <v>75</v>
      </c>
      <c r="H155" s="445"/>
      <c r="I155" s="459" t="s">
        <v>212</v>
      </c>
      <c r="J155" s="460" t="s">
        <v>17</v>
      </c>
      <c r="K155" s="3">
        <f t="shared" ref="K155" si="109">WEEKDAY(E155)</f>
        <v>5</v>
      </c>
      <c r="L155">
        <f t="shared" ref="L155" si="110">IF(G155=L$1,1,IF(H155=L$1,1,""))</f>
        <v>1</v>
      </c>
      <c r="M155" s="39">
        <f t="shared" ref="M155" si="111">SUM(N155:AM155)</f>
        <v>60</v>
      </c>
      <c r="N155" s="42">
        <f t="shared" ref="N155" si="112">IF(H155&lt;&gt;"",20,10)</f>
        <v>10</v>
      </c>
      <c r="O155" s="39">
        <f t="shared" si="99"/>
        <v>0</v>
      </c>
      <c r="P155" s="39">
        <f t="shared" si="99"/>
        <v>0</v>
      </c>
      <c r="Q155" s="39">
        <f t="shared" si="106"/>
        <v>0</v>
      </c>
      <c r="R155" s="39">
        <f t="shared" si="100"/>
        <v>0</v>
      </c>
      <c r="S155" s="39">
        <f t="shared" si="100"/>
        <v>0</v>
      </c>
      <c r="T155" s="39">
        <f t="shared" si="100"/>
        <v>0</v>
      </c>
      <c r="U155" s="39">
        <f t="shared" si="100"/>
        <v>0</v>
      </c>
      <c r="V155" s="39">
        <f t="shared" si="100"/>
        <v>0</v>
      </c>
      <c r="W155" s="39">
        <f t="shared" si="100"/>
        <v>0</v>
      </c>
      <c r="X155" s="39">
        <f t="shared" si="100"/>
        <v>0</v>
      </c>
      <c r="Y155" s="39">
        <f t="shared" si="100"/>
        <v>0</v>
      </c>
      <c r="Z155" s="39">
        <f t="shared" si="100"/>
        <v>0</v>
      </c>
      <c r="AA155" s="39">
        <f t="shared" si="100"/>
        <v>0</v>
      </c>
      <c r="AB155" s="39">
        <f t="shared" si="101"/>
        <v>50</v>
      </c>
      <c r="AC155" s="39">
        <f t="shared" si="101"/>
        <v>0</v>
      </c>
      <c r="AD155" s="39">
        <f t="shared" si="101"/>
        <v>0</v>
      </c>
      <c r="AE155" s="39">
        <f t="shared" si="101"/>
        <v>0</v>
      </c>
      <c r="AF155" s="39">
        <f t="shared" si="101"/>
        <v>0</v>
      </c>
      <c r="AG155" s="39">
        <f t="shared" si="101"/>
        <v>0</v>
      </c>
      <c r="AH155" s="39">
        <f t="shared" si="101"/>
        <v>0</v>
      </c>
      <c r="AI155" s="39">
        <f t="shared" si="101"/>
        <v>0</v>
      </c>
      <c r="AJ155" s="39">
        <f t="shared" si="101"/>
        <v>0</v>
      </c>
      <c r="AK155" s="39">
        <f t="shared" si="101"/>
        <v>0</v>
      </c>
      <c r="AL155" s="39">
        <f t="shared" si="101"/>
        <v>0</v>
      </c>
      <c r="AM155" s="39">
        <f t="shared" si="101"/>
        <v>0</v>
      </c>
    </row>
    <row r="156" spans="1:39" x14ac:dyDescent="0.25">
      <c r="A156" s="19" t="s">
        <v>92</v>
      </c>
      <c r="B156" s="20" t="s">
        <v>89</v>
      </c>
      <c r="C156" s="311">
        <v>5</v>
      </c>
      <c r="D156" s="21" t="s">
        <v>211</v>
      </c>
      <c r="E156" s="34">
        <v>46107</v>
      </c>
      <c r="F156" s="188">
        <v>0.6875</v>
      </c>
      <c r="G156" s="204" t="s">
        <v>20</v>
      </c>
      <c r="H156" s="196"/>
      <c r="I156" s="167" t="s">
        <v>186</v>
      </c>
      <c r="J156" s="168" t="s">
        <v>189</v>
      </c>
      <c r="K156" s="3">
        <f t="shared" si="107"/>
        <v>5</v>
      </c>
      <c r="L156">
        <f t="shared" si="108"/>
        <v>1</v>
      </c>
      <c r="M156" s="39">
        <f t="shared" si="89"/>
        <v>80</v>
      </c>
      <c r="N156" s="42">
        <f t="shared" si="92"/>
        <v>10</v>
      </c>
      <c r="O156" s="39">
        <f t="shared" si="99"/>
        <v>0</v>
      </c>
      <c r="P156" s="39">
        <f t="shared" si="99"/>
        <v>0</v>
      </c>
      <c r="Q156" s="39">
        <f t="shared" si="106"/>
        <v>0</v>
      </c>
      <c r="R156" s="39">
        <f t="shared" ref="R156:AA165" si="113">IF($G156=R$1,VLOOKUP($J156,$AP:$AQ,2,FALSE),IF($H156=R$1,70,0))</f>
        <v>0</v>
      </c>
      <c r="S156" s="39">
        <f t="shared" si="113"/>
        <v>70</v>
      </c>
      <c r="T156" s="39">
        <f t="shared" si="113"/>
        <v>0</v>
      </c>
      <c r="U156" s="39">
        <f t="shared" si="113"/>
        <v>0</v>
      </c>
      <c r="V156" s="39">
        <f t="shared" si="113"/>
        <v>0</v>
      </c>
      <c r="W156" s="39">
        <f t="shared" si="113"/>
        <v>0</v>
      </c>
      <c r="X156" s="39">
        <f t="shared" si="113"/>
        <v>0</v>
      </c>
      <c r="Y156" s="39">
        <f t="shared" si="113"/>
        <v>0</v>
      </c>
      <c r="Z156" s="39">
        <f t="shared" si="113"/>
        <v>0</v>
      </c>
      <c r="AA156" s="39">
        <f t="shared" si="113"/>
        <v>0</v>
      </c>
      <c r="AB156" s="39">
        <f t="shared" ref="AB156:AM165" si="114">IF($G156=AB$1,VLOOKUP($J156,$AP:$AQ,2,FALSE),IF($H156=AB$1,70,0))</f>
        <v>0</v>
      </c>
      <c r="AC156" s="39">
        <f t="shared" si="114"/>
        <v>0</v>
      </c>
      <c r="AD156" s="39">
        <f t="shared" si="114"/>
        <v>0</v>
      </c>
      <c r="AE156" s="39">
        <f t="shared" si="114"/>
        <v>0</v>
      </c>
      <c r="AF156" s="39">
        <f t="shared" si="114"/>
        <v>0</v>
      </c>
      <c r="AG156" s="39">
        <f t="shared" si="114"/>
        <v>0</v>
      </c>
      <c r="AH156" s="39">
        <f t="shared" si="114"/>
        <v>0</v>
      </c>
      <c r="AI156" s="39">
        <f t="shared" si="114"/>
        <v>0</v>
      </c>
      <c r="AJ156" s="39">
        <f t="shared" si="114"/>
        <v>0</v>
      </c>
      <c r="AK156" s="39">
        <f t="shared" si="114"/>
        <v>0</v>
      </c>
      <c r="AL156" s="39">
        <f t="shared" si="114"/>
        <v>0</v>
      </c>
      <c r="AM156" s="39">
        <f t="shared" si="114"/>
        <v>0</v>
      </c>
    </row>
    <row r="157" spans="1:39" x14ac:dyDescent="0.25">
      <c r="A157" s="13" t="s">
        <v>94</v>
      </c>
      <c r="B157" s="14" t="s">
        <v>92</v>
      </c>
      <c r="C157" s="250">
        <v>5</v>
      </c>
      <c r="D157" s="15" t="s">
        <v>211</v>
      </c>
      <c r="E157" s="35">
        <v>46107</v>
      </c>
      <c r="F157" s="184">
        <v>0.79166666666666663</v>
      </c>
      <c r="G157" s="198" t="s">
        <v>20</v>
      </c>
      <c r="H157" s="198" t="s">
        <v>73</v>
      </c>
      <c r="I157" s="159" t="s">
        <v>186</v>
      </c>
      <c r="J157" s="160" t="s">
        <v>190</v>
      </c>
      <c r="K157" s="3">
        <f t="shared" si="107"/>
        <v>5</v>
      </c>
      <c r="L157" t="str">
        <f t="shared" si="108"/>
        <v/>
      </c>
      <c r="M157" s="39">
        <f t="shared" si="89"/>
        <v>165</v>
      </c>
      <c r="N157" s="42">
        <f t="shared" si="92"/>
        <v>20</v>
      </c>
      <c r="O157" s="39">
        <f t="shared" si="99"/>
        <v>0</v>
      </c>
      <c r="P157" s="39">
        <f t="shared" si="99"/>
        <v>0</v>
      </c>
      <c r="Q157" s="39">
        <f t="shared" si="106"/>
        <v>0</v>
      </c>
      <c r="R157" s="39">
        <f t="shared" si="113"/>
        <v>0</v>
      </c>
      <c r="S157" s="39">
        <f t="shared" si="113"/>
        <v>75</v>
      </c>
      <c r="T157" s="39">
        <f t="shared" si="113"/>
        <v>70</v>
      </c>
      <c r="U157" s="39">
        <f t="shared" si="113"/>
        <v>0</v>
      </c>
      <c r="V157" s="39">
        <f t="shared" si="113"/>
        <v>0</v>
      </c>
      <c r="W157" s="39">
        <f t="shared" si="113"/>
        <v>0</v>
      </c>
      <c r="X157" s="39">
        <f t="shared" si="113"/>
        <v>0</v>
      </c>
      <c r="Y157" s="39">
        <f t="shared" si="113"/>
        <v>0</v>
      </c>
      <c r="Z157" s="39">
        <f t="shared" si="113"/>
        <v>0</v>
      </c>
      <c r="AA157" s="39">
        <f t="shared" si="113"/>
        <v>0</v>
      </c>
      <c r="AB157" s="39">
        <f t="shared" si="114"/>
        <v>0</v>
      </c>
      <c r="AC157" s="39">
        <f t="shared" si="114"/>
        <v>0</v>
      </c>
      <c r="AD157" s="39">
        <f t="shared" si="114"/>
        <v>0</v>
      </c>
      <c r="AE157" s="39">
        <f t="shared" si="114"/>
        <v>0</v>
      </c>
      <c r="AF157" s="39">
        <f t="shared" si="114"/>
        <v>0</v>
      </c>
      <c r="AG157" s="39">
        <f t="shared" si="114"/>
        <v>0</v>
      </c>
      <c r="AH157" s="39">
        <f t="shared" si="114"/>
        <v>0</v>
      </c>
      <c r="AI157" s="39">
        <f t="shared" si="114"/>
        <v>0</v>
      </c>
      <c r="AJ157" s="39">
        <f t="shared" si="114"/>
        <v>0</v>
      </c>
      <c r="AK157" s="39">
        <f t="shared" si="114"/>
        <v>0</v>
      </c>
      <c r="AL157" s="39">
        <f t="shared" si="114"/>
        <v>0</v>
      </c>
      <c r="AM157" s="39">
        <f t="shared" si="114"/>
        <v>0</v>
      </c>
    </row>
    <row r="158" spans="1:39" x14ac:dyDescent="0.25">
      <c r="A158" s="19" t="s">
        <v>90</v>
      </c>
      <c r="B158" s="20" t="s">
        <v>101</v>
      </c>
      <c r="C158" s="311">
        <v>5</v>
      </c>
      <c r="D158" s="21" t="s">
        <v>211</v>
      </c>
      <c r="E158" s="34">
        <v>46107</v>
      </c>
      <c r="F158" s="188">
        <v>0.6875</v>
      </c>
      <c r="G158" s="204" t="s">
        <v>106</v>
      </c>
      <c r="H158" s="196"/>
      <c r="I158" s="167" t="s">
        <v>187</v>
      </c>
      <c r="J158" s="168" t="s">
        <v>189</v>
      </c>
      <c r="K158" s="3">
        <f t="shared" si="107"/>
        <v>5</v>
      </c>
      <c r="L158">
        <f t="shared" si="108"/>
        <v>1</v>
      </c>
      <c r="M158" s="39">
        <f t="shared" si="89"/>
        <v>80</v>
      </c>
      <c r="N158" s="42">
        <f t="shared" si="92"/>
        <v>10</v>
      </c>
      <c r="O158" s="39">
        <f t="shared" si="99"/>
        <v>0</v>
      </c>
      <c r="P158" s="39">
        <f t="shared" si="99"/>
        <v>0</v>
      </c>
      <c r="Q158" s="39">
        <f t="shared" si="106"/>
        <v>0</v>
      </c>
      <c r="R158" s="39">
        <f t="shared" si="113"/>
        <v>0</v>
      </c>
      <c r="S158" s="39">
        <f t="shared" si="113"/>
        <v>0</v>
      </c>
      <c r="T158" s="39">
        <f t="shared" si="113"/>
        <v>0</v>
      </c>
      <c r="U158" s="39">
        <f t="shared" si="113"/>
        <v>0</v>
      </c>
      <c r="V158" s="39">
        <f t="shared" si="113"/>
        <v>0</v>
      </c>
      <c r="W158" s="39">
        <f t="shared" si="113"/>
        <v>0</v>
      </c>
      <c r="X158" s="39">
        <f t="shared" si="113"/>
        <v>0</v>
      </c>
      <c r="Y158" s="39">
        <f t="shared" si="113"/>
        <v>0</v>
      </c>
      <c r="Z158" s="39">
        <f t="shared" si="113"/>
        <v>0</v>
      </c>
      <c r="AA158" s="39">
        <f t="shared" si="113"/>
        <v>0</v>
      </c>
      <c r="AB158" s="39">
        <f t="shared" si="114"/>
        <v>0</v>
      </c>
      <c r="AC158" s="39">
        <f t="shared" si="114"/>
        <v>70</v>
      </c>
      <c r="AD158" s="39">
        <f t="shared" si="114"/>
        <v>0</v>
      </c>
      <c r="AE158" s="39">
        <f t="shared" si="114"/>
        <v>0</v>
      </c>
      <c r="AF158" s="39">
        <f t="shared" si="114"/>
        <v>0</v>
      </c>
      <c r="AG158" s="39">
        <f t="shared" si="114"/>
        <v>0</v>
      </c>
      <c r="AH158" s="39">
        <f t="shared" si="114"/>
        <v>0</v>
      </c>
      <c r="AI158" s="39">
        <f t="shared" si="114"/>
        <v>0</v>
      </c>
      <c r="AJ158" s="39">
        <f t="shared" si="114"/>
        <v>0</v>
      </c>
      <c r="AK158" s="39">
        <f t="shared" si="114"/>
        <v>0</v>
      </c>
      <c r="AL158" s="39">
        <f t="shared" si="114"/>
        <v>0</v>
      </c>
      <c r="AM158" s="39">
        <f t="shared" si="114"/>
        <v>0</v>
      </c>
    </row>
    <row r="159" spans="1:39" x14ac:dyDescent="0.25">
      <c r="A159" s="16" t="s">
        <v>96</v>
      </c>
      <c r="B159" s="17" t="s">
        <v>92</v>
      </c>
      <c r="C159" s="259">
        <v>5</v>
      </c>
      <c r="D159" s="18" t="s">
        <v>211</v>
      </c>
      <c r="E159" s="36">
        <v>46107</v>
      </c>
      <c r="F159" s="185">
        <v>0.79166666666666663</v>
      </c>
      <c r="G159" s="199" t="s">
        <v>21</v>
      </c>
      <c r="H159" s="196"/>
      <c r="I159" s="161" t="s">
        <v>187</v>
      </c>
      <c r="J159" s="162" t="s">
        <v>188</v>
      </c>
      <c r="K159" s="3">
        <f t="shared" si="107"/>
        <v>5</v>
      </c>
      <c r="L159">
        <f t="shared" si="108"/>
        <v>1</v>
      </c>
      <c r="M159" s="39">
        <f t="shared" si="89"/>
        <v>85</v>
      </c>
      <c r="N159" s="42">
        <f t="shared" si="92"/>
        <v>10</v>
      </c>
      <c r="O159" s="39">
        <f t="shared" si="99"/>
        <v>0</v>
      </c>
      <c r="P159" s="39">
        <f t="shared" si="99"/>
        <v>0</v>
      </c>
      <c r="Q159" s="39">
        <f t="shared" si="106"/>
        <v>0</v>
      </c>
      <c r="R159" s="39">
        <f t="shared" si="113"/>
        <v>0</v>
      </c>
      <c r="S159" s="39">
        <f t="shared" si="113"/>
        <v>0</v>
      </c>
      <c r="T159" s="39">
        <f t="shared" si="113"/>
        <v>0</v>
      </c>
      <c r="U159" s="39">
        <f t="shared" si="113"/>
        <v>0</v>
      </c>
      <c r="V159" s="39">
        <f t="shared" si="113"/>
        <v>75</v>
      </c>
      <c r="W159" s="39">
        <f t="shared" si="113"/>
        <v>0</v>
      </c>
      <c r="X159" s="39">
        <f t="shared" si="113"/>
        <v>0</v>
      </c>
      <c r="Y159" s="39">
        <f t="shared" si="113"/>
        <v>0</v>
      </c>
      <c r="Z159" s="39">
        <f t="shared" si="113"/>
        <v>0</v>
      </c>
      <c r="AA159" s="39">
        <f t="shared" si="113"/>
        <v>0</v>
      </c>
      <c r="AB159" s="39">
        <f t="shared" si="114"/>
        <v>0</v>
      </c>
      <c r="AC159" s="39">
        <f t="shared" si="114"/>
        <v>0</v>
      </c>
      <c r="AD159" s="39">
        <f t="shared" si="114"/>
        <v>0</v>
      </c>
      <c r="AE159" s="39">
        <f t="shared" si="114"/>
        <v>0</v>
      </c>
      <c r="AF159" s="39">
        <f t="shared" si="114"/>
        <v>0</v>
      </c>
      <c r="AG159" s="39">
        <f t="shared" si="114"/>
        <v>0</v>
      </c>
      <c r="AH159" s="39">
        <f t="shared" si="114"/>
        <v>0</v>
      </c>
      <c r="AI159" s="39">
        <f t="shared" si="114"/>
        <v>0</v>
      </c>
      <c r="AJ159" s="39">
        <f t="shared" si="114"/>
        <v>0</v>
      </c>
      <c r="AK159" s="39">
        <f t="shared" si="114"/>
        <v>0</v>
      </c>
      <c r="AL159" s="39">
        <f t="shared" si="114"/>
        <v>0</v>
      </c>
      <c r="AM159" s="39">
        <f t="shared" si="114"/>
        <v>0</v>
      </c>
    </row>
    <row r="160" spans="1:39" x14ac:dyDescent="0.25">
      <c r="A160" s="452" t="s">
        <v>90</v>
      </c>
      <c r="B160" s="453" t="s">
        <v>97</v>
      </c>
      <c r="C160" s="454">
        <v>6</v>
      </c>
      <c r="D160" s="455" t="s">
        <v>211</v>
      </c>
      <c r="E160" s="456">
        <v>46108</v>
      </c>
      <c r="F160" s="457">
        <v>0.70833333333333337</v>
      </c>
      <c r="G160" s="458"/>
      <c r="H160" s="445"/>
      <c r="I160" s="459" t="s">
        <v>212</v>
      </c>
      <c r="J160" s="460" t="s">
        <v>17</v>
      </c>
      <c r="K160" s="3">
        <f t="shared" si="107"/>
        <v>6</v>
      </c>
      <c r="L160">
        <f t="shared" si="108"/>
        <v>1</v>
      </c>
      <c r="M160" s="39">
        <f t="shared" si="89"/>
        <v>10</v>
      </c>
      <c r="N160" s="42">
        <f t="shared" si="92"/>
        <v>10</v>
      </c>
      <c r="O160" s="39">
        <f t="shared" si="99"/>
        <v>0</v>
      </c>
      <c r="P160" s="39">
        <f t="shared" si="99"/>
        <v>0</v>
      </c>
      <c r="Q160" s="39">
        <f t="shared" si="106"/>
        <v>0</v>
      </c>
      <c r="R160" s="39">
        <f t="shared" si="113"/>
        <v>0</v>
      </c>
      <c r="S160" s="39">
        <f t="shared" si="113"/>
        <v>0</v>
      </c>
      <c r="T160" s="39">
        <f t="shared" si="113"/>
        <v>0</v>
      </c>
      <c r="U160" s="39">
        <f t="shared" si="113"/>
        <v>0</v>
      </c>
      <c r="V160" s="39">
        <f t="shared" si="113"/>
        <v>0</v>
      </c>
      <c r="W160" s="39">
        <f t="shared" si="113"/>
        <v>0</v>
      </c>
      <c r="X160" s="39">
        <f t="shared" si="113"/>
        <v>0</v>
      </c>
      <c r="Y160" s="39">
        <f t="shared" si="113"/>
        <v>0</v>
      </c>
      <c r="Z160" s="39">
        <f t="shared" si="113"/>
        <v>0</v>
      </c>
      <c r="AA160" s="39">
        <f t="shared" si="113"/>
        <v>0</v>
      </c>
      <c r="AB160" s="39">
        <f t="shared" si="114"/>
        <v>0</v>
      </c>
      <c r="AC160" s="39">
        <f t="shared" si="114"/>
        <v>0</v>
      </c>
      <c r="AD160" s="39">
        <f t="shared" si="114"/>
        <v>0</v>
      </c>
      <c r="AE160" s="39">
        <f t="shared" si="114"/>
        <v>0</v>
      </c>
      <c r="AF160" s="39">
        <f t="shared" si="114"/>
        <v>0</v>
      </c>
      <c r="AG160" s="39">
        <f t="shared" si="114"/>
        <v>0</v>
      </c>
      <c r="AH160" s="39">
        <f t="shared" si="114"/>
        <v>0</v>
      </c>
      <c r="AI160" s="39">
        <f t="shared" si="114"/>
        <v>0</v>
      </c>
      <c r="AJ160" s="39">
        <f t="shared" si="114"/>
        <v>0</v>
      </c>
      <c r="AK160" s="39">
        <f t="shared" si="114"/>
        <v>0</v>
      </c>
      <c r="AL160" s="39">
        <f t="shared" si="114"/>
        <v>0</v>
      </c>
      <c r="AM160" s="39">
        <f t="shared" si="114"/>
        <v>0</v>
      </c>
    </row>
    <row r="161" spans="1:39" x14ac:dyDescent="0.25">
      <c r="A161" s="53" t="s">
        <v>97</v>
      </c>
      <c r="B161" s="54" t="s">
        <v>93</v>
      </c>
      <c r="C161" s="320">
        <v>5</v>
      </c>
      <c r="D161" s="55" t="s">
        <v>211</v>
      </c>
      <c r="E161" s="56">
        <v>46108</v>
      </c>
      <c r="F161" s="189">
        <v>0.70833333333333337</v>
      </c>
      <c r="G161" s="205" t="s">
        <v>106</v>
      </c>
      <c r="H161" s="196"/>
      <c r="I161" s="169" t="s">
        <v>186</v>
      </c>
      <c r="J161" s="170" t="s">
        <v>189</v>
      </c>
      <c r="K161" s="3">
        <f t="shared" si="107"/>
        <v>6</v>
      </c>
      <c r="L161">
        <f t="shared" si="108"/>
        <v>1</v>
      </c>
      <c r="M161" s="39">
        <f t="shared" si="89"/>
        <v>80</v>
      </c>
      <c r="N161" s="42">
        <f t="shared" si="92"/>
        <v>10</v>
      </c>
      <c r="O161" s="39">
        <f t="shared" si="99"/>
        <v>0</v>
      </c>
      <c r="P161" s="39">
        <f t="shared" si="99"/>
        <v>0</v>
      </c>
      <c r="Q161" s="39">
        <f t="shared" si="106"/>
        <v>0</v>
      </c>
      <c r="R161" s="39">
        <f t="shared" si="113"/>
        <v>0</v>
      </c>
      <c r="S161" s="39">
        <f t="shared" si="113"/>
        <v>0</v>
      </c>
      <c r="T161" s="39">
        <f t="shared" si="113"/>
        <v>0</v>
      </c>
      <c r="U161" s="39">
        <f t="shared" si="113"/>
        <v>0</v>
      </c>
      <c r="V161" s="39">
        <f t="shared" si="113"/>
        <v>0</v>
      </c>
      <c r="W161" s="39">
        <f t="shared" si="113"/>
        <v>0</v>
      </c>
      <c r="X161" s="39">
        <f t="shared" si="113"/>
        <v>0</v>
      </c>
      <c r="Y161" s="39">
        <f t="shared" si="113"/>
        <v>0</v>
      </c>
      <c r="Z161" s="39">
        <f t="shared" si="113"/>
        <v>0</v>
      </c>
      <c r="AA161" s="39">
        <f t="shared" si="113"/>
        <v>0</v>
      </c>
      <c r="AB161" s="39">
        <f t="shared" si="114"/>
        <v>0</v>
      </c>
      <c r="AC161" s="39">
        <f t="shared" si="114"/>
        <v>70</v>
      </c>
      <c r="AD161" s="39">
        <f t="shared" si="114"/>
        <v>0</v>
      </c>
      <c r="AE161" s="39">
        <f t="shared" si="114"/>
        <v>0</v>
      </c>
      <c r="AF161" s="39">
        <f t="shared" si="114"/>
        <v>0</v>
      </c>
      <c r="AG161" s="39">
        <f t="shared" si="114"/>
        <v>0</v>
      </c>
      <c r="AH161" s="39">
        <f t="shared" si="114"/>
        <v>0</v>
      </c>
      <c r="AI161" s="39">
        <f t="shared" si="114"/>
        <v>0</v>
      </c>
      <c r="AJ161" s="39">
        <f t="shared" si="114"/>
        <v>0</v>
      </c>
      <c r="AK161" s="39">
        <f t="shared" si="114"/>
        <v>0</v>
      </c>
      <c r="AL161" s="39">
        <f t="shared" si="114"/>
        <v>0</v>
      </c>
      <c r="AM161" s="39">
        <f t="shared" si="114"/>
        <v>0</v>
      </c>
    </row>
    <row r="162" spans="1:39" x14ac:dyDescent="0.25">
      <c r="A162" s="53" t="s">
        <v>95</v>
      </c>
      <c r="B162" s="54" t="s">
        <v>96</v>
      </c>
      <c r="C162" s="320">
        <v>5</v>
      </c>
      <c r="D162" s="55" t="s">
        <v>211</v>
      </c>
      <c r="E162" s="56">
        <v>46108</v>
      </c>
      <c r="F162" s="189">
        <v>0.70833333333333337</v>
      </c>
      <c r="G162" s="205"/>
      <c r="H162" s="196"/>
      <c r="I162" s="169" t="s">
        <v>187</v>
      </c>
      <c r="J162" s="170" t="s">
        <v>189</v>
      </c>
      <c r="K162" s="3">
        <f t="shared" si="107"/>
        <v>6</v>
      </c>
      <c r="L162">
        <f t="shared" si="108"/>
        <v>1</v>
      </c>
      <c r="M162" s="39">
        <f t="shared" si="89"/>
        <v>10</v>
      </c>
      <c r="N162" s="42">
        <f t="shared" si="92"/>
        <v>10</v>
      </c>
      <c r="O162" s="39">
        <f t="shared" si="99"/>
        <v>0</v>
      </c>
      <c r="P162" s="39">
        <f t="shared" si="99"/>
        <v>0</v>
      </c>
      <c r="Q162" s="39">
        <f t="shared" si="106"/>
        <v>0</v>
      </c>
      <c r="R162" s="39">
        <f t="shared" si="113"/>
        <v>0</v>
      </c>
      <c r="S162" s="39">
        <f t="shared" si="113"/>
        <v>0</v>
      </c>
      <c r="T162" s="39">
        <f t="shared" si="113"/>
        <v>0</v>
      </c>
      <c r="U162" s="39">
        <f t="shared" si="113"/>
        <v>0</v>
      </c>
      <c r="V162" s="39">
        <f t="shared" si="113"/>
        <v>0</v>
      </c>
      <c r="W162" s="39">
        <f t="shared" si="113"/>
        <v>0</v>
      </c>
      <c r="X162" s="39">
        <f t="shared" si="113"/>
        <v>0</v>
      </c>
      <c r="Y162" s="39">
        <f t="shared" si="113"/>
        <v>0</v>
      </c>
      <c r="Z162" s="39">
        <f t="shared" si="113"/>
        <v>0</v>
      </c>
      <c r="AA162" s="39">
        <f t="shared" si="113"/>
        <v>0</v>
      </c>
      <c r="AB162" s="39">
        <f t="shared" si="114"/>
        <v>0</v>
      </c>
      <c r="AC162" s="39">
        <f t="shared" si="114"/>
        <v>0</v>
      </c>
      <c r="AD162" s="39">
        <f t="shared" si="114"/>
        <v>0</v>
      </c>
      <c r="AE162" s="39">
        <f t="shared" si="114"/>
        <v>0</v>
      </c>
      <c r="AF162" s="39">
        <f t="shared" si="114"/>
        <v>0</v>
      </c>
      <c r="AG162" s="39">
        <f t="shared" si="114"/>
        <v>0</v>
      </c>
      <c r="AH162" s="39">
        <f t="shared" si="114"/>
        <v>0</v>
      </c>
      <c r="AI162" s="39">
        <f t="shared" si="114"/>
        <v>0</v>
      </c>
      <c r="AJ162" s="39">
        <f t="shared" si="114"/>
        <v>0</v>
      </c>
      <c r="AK162" s="39">
        <f t="shared" si="114"/>
        <v>0</v>
      </c>
      <c r="AL162" s="39">
        <f t="shared" si="114"/>
        <v>0</v>
      </c>
      <c r="AM162" s="39">
        <f t="shared" si="114"/>
        <v>0</v>
      </c>
    </row>
    <row r="163" spans="1:39" x14ac:dyDescent="0.25">
      <c r="A163" s="16" t="s">
        <v>97</v>
      </c>
      <c r="B163" s="17" t="s">
        <v>94</v>
      </c>
      <c r="C163" s="259">
        <v>5</v>
      </c>
      <c r="D163" s="18" t="s">
        <v>211</v>
      </c>
      <c r="E163" s="36">
        <v>46109</v>
      </c>
      <c r="F163" s="185">
        <v>0.375</v>
      </c>
      <c r="G163" s="206" t="s">
        <v>19</v>
      </c>
      <c r="H163" s="207"/>
      <c r="I163" s="171" t="s">
        <v>186</v>
      </c>
      <c r="J163" s="162" t="s">
        <v>188</v>
      </c>
      <c r="K163" s="3">
        <f t="shared" si="107"/>
        <v>7</v>
      </c>
      <c r="L163">
        <f t="shared" si="108"/>
        <v>1</v>
      </c>
      <c r="M163" s="39">
        <f t="shared" si="89"/>
        <v>85</v>
      </c>
      <c r="N163" s="42">
        <f t="shared" si="92"/>
        <v>10</v>
      </c>
      <c r="O163" s="39">
        <f t="shared" si="99"/>
        <v>75</v>
      </c>
      <c r="P163" s="39">
        <f t="shared" si="99"/>
        <v>0</v>
      </c>
      <c r="Q163" s="39">
        <f t="shared" si="106"/>
        <v>0</v>
      </c>
      <c r="R163" s="39">
        <f t="shared" si="113"/>
        <v>0</v>
      </c>
      <c r="S163" s="39">
        <f t="shared" si="113"/>
        <v>0</v>
      </c>
      <c r="T163" s="39">
        <f t="shared" si="113"/>
        <v>0</v>
      </c>
      <c r="U163" s="39">
        <f t="shared" si="113"/>
        <v>0</v>
      </c>
      <c r="V163" s="39">
        <f t="shared" si="113"/>
        <v>0</v>
      </c>
      <c r="W163" s="39">
        <f t="shared" si="113"/>
        <v>0</v>
      </c>
      <c r="X163" s="39">
        <f t="shared" si="113"/>
        <v>0</v>
      </c>
      <c r="Y163" s="39">
        <f t="shared" si="113"/>
        <v>0</v>
      </c>
      <c r="Z163" s="39">
        <f t="shared" si="113"/>
        <v>0</v>
      </c>
      <c r="AA163" s="39">
        <f t="shared" si="113"/>
        <v>0</v>
      </c>
      <c r="AB163" s="39">
        <f t="shared" si="114"/>
        <v>0</v>
      </c>
      <c r="AC163" s="39">
        <f t="shared" si="114"/>
        <v>0</v>
      </c>
      <c r="AD163" s="39">
        <f t="shared" si="114"/>
        <v>0</v>
      </c>
      <c r="AE163" s="39">
        <f t="shared" si="114"/>
        <v>0</v>
      </c>
      <c r="AF163" s="39">
        <f t="shared" si="114"/>
        <v>0</v>
      </c>
      <c r="AG163" s="39">
        <f t="shared" si="114"/>
        <v>0</v>
      </c>
      <c r="AH163" s="39">
        <f t="shared" si="114"/>
        <v>0</v>
      </c>
      <c r="AI163" s="39">
        <f t="shared" si="114"/>
        <v>0</v>
      </c>
      <c r="AJ163" s="39">
        <f t="shared" si="114"/>
        <v>0</v>
      </c>
      <c r="AK163" s="39">
        <f t="shared" si="114"/>
        <v>0</v>
      </c>
      <c r="AL163" s="39">
        <f t="shared" si="114"/>
        <v>0</v>
      </c>
      <c r="AM163" s="39">
        <f t="shared" si="114"/>
        <v>0</v>
      </c>
    </row>
    <row r="164" spans="1:39" x14ac:dyDescent="0.25">
      <c r="A164" s="71" t="s">
        <v>97</v>
      </c>
      <c r="B164" s="72" t="s">
        <v>94</v>
      </c>
      <c r="C164" s="332">
        <v>5</v>
      </c>
      <c r="D164" s="69" t="s">
        <v>211</v>
      </c>
      <c r="E164" s="35">
        <v>46109</v>
      </c>
      <c r="F164" s="184">
        <v>0.47916666666666669</v>
      </c>
      <c r="G164" s="201" t="s">
        <v>20</v>
      </c>
      <c r="H164" s="201" t="s">
        <v>217</v>
      </c>
      <c r="I164" s="172" t="s">
        <v>186</v>
      </c>
      <c r="J164" s="173" t="s">
        <v>190</v>
      </c>
      <c r="K164" s="3">
        <f t="shared" si="107"/>
        <v>7</v>
      </c>
      <c r="L164" t="str">
        <f t="shared" si="108"/>
        <v/>
      </c>
      <c r="M164" s="39">
        <f t="shared" si="89"/>
        <v>95</v>
      </c>
      <c r="N164" s="42">
        <f t="shared" si="92"/>
        <v>20</v>
      </c>
      <c r="O164" s="39">
        <f t="shared" si="99"/>
        <v>0</v>
      </c>
      <c r="P164" s="39">
        <f t="shared" si="99"/>
        <v>0</v>
      </c>
      <c r="Q164" s="39">
        <f t="shared" si="106"/>
        <v>0</v>
      </c>
      <c r="R164" s="39">
        <f t="shared" si="113"/>
        <v>0</v>
      </c>
      <c r="S164" s="39">
        <f t="shared" si="113"/>
        <v>75</v>
      </c>
      <c r="T164" s="39">
        <f t="shared" si="113"/>
        <v>0</v>
      </c>
      <c r="U164" s="39">
        <f t="shared" si="113"/>
        <v>0</v>
      </c>
      <c r="V164" s="39">
        <f t="shared" si="113"/>
        <v>0</v>
      </c>
      <c r="W164" s="39">
        <f t="shared" si="113"/>
        <v>0</v>
      </c>
      <c r="X164" s="39">
        <f t="shared" si="113"/>
        <v>0</v>
      </c>
      <c r="Y164" s="39">
        <f t="shared" si="113"/>
        <v>0</v>
      </c>
      <c r="Z164" s="39">
        <f t="shared" si="113"/>
        <v>0</v>
      </c>
      <c r="AA164" s="39">
        <f t="shared" si="113"/>
        <v>0</v>
      </c>
      <c r="AB164" s="39">
        <f t="shared" si="114"/>
        <v>0</v>
      </c>
      <c r="AC164" s="39">
        <f t="shared" si="114"/>
        <v>0</v>
      </c>
      <c r="AD164" s="39">
        <f t="shared" si="114"/>
        <v>0</v>
      </c>
      <c r="AE164" s="39">
        <f t="shared" si="114"/>
        <v>0</v>
      </c>
      <c r="AF164" s="39">
        <f t="shared" si="114"/>
        <v>0</v>
      </c>
      <c r="AG164" s="39">
        <f t="shared" si="114"/>
        <v>0</v>
      </c>
      <c r="AH164" s="39">
        <f t="shared" si="114"/>
        <v>0</v>
      </c>
      <c r="AI164" s="39">
        <f t="shared" si="114"/>
        <v>0</v>
      </c>
      <c r="AJ164" s="39">
        <f t="shared" si="114"/>
        <v>0</v>
      </c>
      <c r="AK164" s="39">
        <f t="shared" si="114"/>
        <v>0</v>
      </c>
      <c r="AL164" s="39">
        <f t="shared" si="114"/>
        <v>0</v>
      </c>
      <c r="AM164" s="39">
        <f t="shared" si="114"/>
        <v>0</v>
      </c>
    </row>
    <row r="165" spans="1:39" x14ac:dyDescent="0.25">
      <c r="A165" s="71" t="s">
        <v>93</v>
      </c>
      <c r="B165" s="72" t="s">
        <v>89</v>
      </c>
      <c r="C165" s="332">
        <v>5</v>
      </c>
      <c r="D165" s="69" t="s">
        <v>211</v>
      </c>
      <c r="E165" s="35">
        <v>46109</v>
      </c>
      <c r="F165" s="184">
        <v>0.58333333333333337</v>
      </c>
      <c r="G165" s="208" t="s">
        <v>18</v>
      </c>
      <c r="H165" s="201" t="s">
        <v>20</v>
      </c>
      <c r="I165" s="174" t="s">
        <v>186</v>
      </c>
      <c r="J165" s="175" t="s">
        <v>190</v>
      </c>
      <c r="K165" s="3">
        <f t="shared" si="107"/>
        <v>7</v>
      </c>
      <c r="L165" t="str">
        <f t="shared" si="108"/>
        <v/>
      </c>
      <c r="M165" s="39">
        <f t="shared" si="89"/>
        <v>165</v>
      </c>
      <c r="N165" s="42">
        <f t="shared" si="92"/>
        <v>20</v>
      </c>
      <c r="O165" s="39">
        <f t="shared" si="99"/>
        <v>0</v>
      </c>
      <c r="P165" s="39">
        <f t="shared" si="99"/>
        <v>75</v>
      </c>
      <c r="Q165" s="39">
        <f t="shared" si="106"/>
        <v>0</v>
      </c>
      <c r="R165" s="39">
        <f t="shared" si="113"/>
        <v>0</v>
      </c>
      <c r="S165" s="39">
        <f t="shared" si="113"/>
        <v>70</v>
      </c>
      <c r="T165" s="39">
        <f t="shared" si="113"/>
        <v>0</v>
      </c>
      <c r="U165" s="39">
        <f t="shared" si="113"/>
        <v>0</v>
      </c>
      <c r="V165" s="39">
        <f t="shared" si="113"/>
        <v>0</v>
      </c>
      <c r="W165" s="39">
        <f t="shared" si="113"/>
        <v>0</v>
      </c>
      <c r="X165" s="39">
        <f t="shared" si="113"/>
        <v>0</v>
      </c>
      <c r="Y165" s="39">
        <f t="shared" si="113"/>
        <v>0</v>
      </c>
      <c r="Z165" s="39">
        <f t="shared" si="113"/>
        <v>0</v>
      </c>
      <c r="AA165" s="39">
        <f t="shared" si="113"/>
        <v>0</v>
      </c>
      <c r="AB165" s="39">
        <f t="shared" si="114"/>
        <v>0</v>
      </c>
      <c r="AC165" s="39">
        <f t="shared" si="114"/>
        <v>0</v>
      </c>
      <c r="AD165" s="39">
        <f t="shared" si="114"/>
        <v>0</v>
      </c>
      <c r="AE165" s="39">
        <f t="shared" si="114"/>
        <v>0</v>
      </c>
      <c r="AF165" s="39">
        <f t="shared" si="114"/>
        <v>0</v>
      </c>
      <c r="AG165" s="39">
        <f t="shared" si="114"/>
        <v>0</v>
      </c>
      <c r="AH165" s="39">
        <f t="shared" si="114"/>
        <v>0</v>
      </c>
      <c r="AI165" s="39">
        <f t="shared" si="114"/>
        <v>0</v>
      </c>
      <c r="AJ165" s="39">
        <f t="shared" si="114"/>
        <v>0</v>
      </c>
      <c r="AK165" s="39">
        <f t="shared" si="114"/>
        <v>0</v>
      </c>
      <c r="AL165" s="39">
        <f t="shared" si="114"/>
        <v>0</v>
      </c>
      <c r="AM165" s="39">
        <f t="shared" si="114"/>
        <v>0</v>
      </c>
    </row>
    <row r="166" spans="1:39" x14ac:dyDescent="0.25">
      <c r="A166" s="71" t="s">
        <v>96</v>
      </c>
      <c r="B166" s="72" t="s">
        <v>92</v>
      </c>
      <c r="C166" s="332">
        <v>5</v>
      </c>
      <c r="D166" s="69" t="s">
        <v>211</v>
      </c>
      <c r="E166" s="35">
        <v>46109</v>
      </c>
      <c r="F166" s="184">
        <v>0.6875</v>
      </c>
      <c r="G166" s="208" t="s">
        <v>21</v>
      </c>
      <c r="H166" s="201" t="s">
        <v>18</v>
      </c>
      <c r="I166" s="176" t="s">
        <v>186</v>
      </c>
      <c r="J166" s="173" t="s">
        <v>190</v>
      </c>
      <c r="K166" s="3">
        <f t="shared" si="107"/>
        <v>7</v>
      </c>
      <c r="L166" t="str">
        <f t="shared" si="108"/>
        <v/>
      </c>
      <c r="M166" s="39">
        <f t="shared" si="89"/>
        <v>165</v>
      </c>
      <c r="N166" s="42">
        <f t="shared" si="92"/>
        <v>20</v>
      </c>
      <c r="O166" s="39">
        <f t="shared" si="99"/>
        <v>0</v>
      </c>
      <c r="P166" s="39">
        <f t="shared" si="99"/>
        <v>70</v>
      </c>
      <c r="Q166" s="39">
        <f t="shared" si="106"/>
        <v>0</v>
      </c>
      <c r="R166" s="39">
        <f t="shared" ref="R166:AA177" si="115">IF($G166=R$1,VLOOKUP($J166,$AP:$AQ,2,FALSE),IF($H166=R$1,70,0))</f>
        <v>0</v>
      </c>
      <c r="S166" s="39">
        <f t="shared" si="115"/>
        <v>0</v>
      </c>
      <c r="T166" s="39">
        <f t="shared" si="115"/>
        <v>0</v>
      </c>
      <c r="U166" s="39">
        <f t="shared" si="115"/>
        <v>0</v>
      </c>
      <c r="V166" s="39">
        <f t="shared" si="115"/>
        <v>75</v>
      </c>
      <c r="W166" s="39">
        <f t="shared" si="115"/>
        <v>0</v>
      </c>
      <c r="X166" s="39">
        <f t="shared" si="115"/>
        <v>0</v>
      </c>
      <c r="Y166" s="39">
        <f t="shared" si="115"/>
        <v>0</v>
      </c>
      <c r="Z166" s="39">
        <f t="shared" si="115"/>
        <v>0</v>
      </c>
      <c r="AA166" s="39">
        <f t="shared" si="115"/>
        <v>0</v>
      </c>
      <c r="AB166" s="39">
        <f t="shared" ref="AB166:AM177" si="116">IF($G166=AB$1,VLOOKUP($J166,$AP:$AQ,2,FALSE),IF($H166=AB$1,70,0))</f>
        <v>0</v>
      </c>
      <c r="AC166" s="39">
        <f t="shared" si="116"/>
        <v>0</v>
      </c>
      <c r="AD166" s="39">
        <f t="shared" si="116"/>
        <v>0</v>
      </c>
      <c r="AE166" s="39">
        <f t="shared" si="116"/>
        <v>0</v>
      </c>
      <c r="AF166" s="39">
        <f t="shared" si="116"/>
        <v>0</v>
      </c>
      <c r="AG166" s="39">
        <f t="shared" si="116"/>
        <v>0</v>
      </c>
      <c r="AH166" s="39">
        <f t="shared" si="116"/>
        <v>0</v>
      </c>
      <c r="AI166" s="39">
        <f t="shared" si="116"/>
        <v>0</v>
      </c>
      <c r="AJ166" s="39">
        <f t="shared" si="116"/>
        <v>0</v>
      </c>
      <c r="AK166" s="39">
        <f t="shared" si="116"/>
        <v>0</v>
      </c>
      <c r="AL166" s="39">
        <f t="shared" si="116"/>
        <v>0</v>
      </c>
      <c r="AM166" s="39">
        <f t="shared" si="116"/>
        <v>0</v>
      </c>
    </row>
    <row r="167" spans="1:39" x14ac:dyDescent="0.25">
      <c r="A167" s="16" t="s">
        <v>98</v>
      </c>
      <c r="B167" s="17" t="s">
        <v>89</v>
      </c>
      <c r="C167" s="259">
        <v>5</v>
      </c>
      <c r="D167" s="18" t="s">
        <v>211</v>
      </c>
      <c r="E167" s="36">
        <v>46109</v>
      </c>
      <c r="F167" s="185">
        <v>0.375</v>
      </c>
      <c r="G167" s="199" t="s">
        <v>106</v>
      </c>
      <c r="H167" s="207"/>
      <c r="I167" s="161" t="s">
        <v>187</v>
      </c>
      <c r="J167" s="162" t="s">
        <v>188</v>
      </c>
      <c r="K167" s="3">
        <f>WEEKDAY(E167)</f>
        <v>7</v>
      </c>
      <c r="L167">
        <f>IF(G167=L$1,1,IF(H167=L$1,1,""))</f>
        <v>1</v>
      </c>
      <c r="M167" s="39">
        <f t="shared" si="89"/>
        <v>85</v>
      </c>
      <c r="N167" s="42">
        <f>IF(H167&lt;&gt;"",20,10)</f>
        <v>10</v>
      </c>
      <c r="O167" s="39">
        <f t="shared" si="99"/>
        <v>0</v>
      </c>
      <c r="P167" s="39">
        <f t="shared" si="99"/>
        <v>0</v>
      </c>
      <c r="Q167" s="39">
        <f t="shared" si="106"/>
        <v>0</v>
      </c>
      <c r="R167" s="39">
        <f t="shared" si="115"/>
        <v>0</v>
      </c>
      <c r="S167" s="39">
        <f t="shared" si="115"/>
        <v>0</v>
      </c>
      <c r="T167" s="39">
        <f t="shared" si="115"/>
        <v>0</v>
      </c>
      <c r="U167" s="39">
        <f t="shared" si="115"/>
        <v>0</v>
      </c>
      <c r="V167" s="39">
        <f t="shared" si="115"/>
        <v>0</v>
      </c>
      <c r="W167" s="39">
        <f t="shared" si="115"/>
        <v>0</v>
      </c>
      <c r="X167" s="39">
        <f t="shared" si="115"/>
        <v>0</v>
      </c>
      <c r="Y167" s="39">
        <f t="shared" si="115"/>
        <v>0</v>
      </c>
      <c r="Z167" s="39">
        <f t="shared" si="115"/>
        <v>0</v>
      </c>
      <c r="AA167" s="39">
        <f t="shared" si="115"/>
        <v>0</v>
      </c>
      <c r="AB167" s="39">
        <f t="shared" si="116"/>
        <v>0</v>
      </c>
      <c r="AC167" s="39">
        <f t="shared" si="116"/>
        <v>75</v>
      </c>
      <c r="AD167" s="39">
        <f t="shared" si="116"/>
        <v>0</v>
      </c>
      <c r="AE167" s="39">
        <f t="shared" si="116"/>
        <v>0</v>
      </c>
      <c r="AF167" s="39">
        <f t="shared" si="116"/>
        <v>0</v>
      </c>
      <c r="AG167" s="39">
        <f t="shared" si="116"/>
        <v>0</v>
      </c>
      <c r="AH167" s="39">
        <f t="shared" si="116"/>
        <v>0</v>
      </c>
      <c r="AI167" s="39">
        <f t="shared" si="116"/>
        <v>0</v>
      </c>
      <c r="AJ167" s="39">
        <f t="shared" si="116"/>
        <v>0</v>
      </c>
      <c r="AK167" s="39">
        <f t="shared" si="116"/>
        <v>0</v>
      </c>
      <c r="AL167" s="39">
        <f t="shared" si="116"/>
        <v>0</v>
      </c>
      <c r="AM167" s="39">
        <f t="shared" si="116"/>
        <v>0</v>
      </c>
    </row>
    <row r="168" spans="1:39" x14ac:dyDescent="0.25">
      <c r="A168" s="16" t="s">
        <v>92</v>
      </c>
      <c r="B168" s="17" t="s">
        <v>90</v>
      </c>
      <c r="C168" s="259">
        <v>5</v>
      </c>
      <c r="D168" s="18" t="s">
        <v>211</v>
      </c>
      <c r="E168" s="36">
        <v>46109</v>
      </c>
      <c r="F168" s="185">
        <v>0.47916666666666669</v>
      </c>
      <c r="G168" s="199" t="s">
        <v>106</v>
      </c>
      <c r="H168" s="207"/>
      <c r="I168" s="161" t="s">
        <v>187</v>
      </c>
      <c r="J168" s="162" t="s">
        <v>188</v>
      </c>
      <c r="K168" s="3">
        <f>WEEKDAY(E168)</f>
        <v>7</v>
      </c>
      <c r="L168">
        <f>IF(G168=L$1,1,IF(H168=L$1,1,""))</f>
        <v>1</v>
      </c>
      <c r="M168" s="39">
        <f t="shared" si="89"/>
        <v>85</v>
      </c>
      <c r="N168" s="42">
        <f>IF(H168&lt;&gt;"",20,10)</f>
        <v>10</v>
      </c>
      <c r="O168" s="39">
        <f t="shared" si="99"/>
        <v>0</v>
      </c>
      <c r="P168" s="39">
        <f t="shared" si="99"/>
        <v>0</v>
      </c>
      <c r="Q168" s="39">
        <f t="shared" si="106"/>
        <v>0</v>
      </c>
      <c r="R168" s="39">
        <f t="shared" si="115"/>
        <v>0</v>
      </c>
      <c r="S168" s="39">
        <f t="shared" si="115"/>
        <v>0</v>
      </c>
      <c r="T168" s="39">
        <f t="shared" si="115"/>
        <v>0</v>
      </c>
      <c r="U168" s="39">
        <f t="shared" si="115"/>
        <v>0</v>
      </c>
      <c r="V168" s="39">
        <f t="shared" si="115"/>
        <v>0</v>
      </c>
      <c r="W168" s="39">
        <f t="shared" si="115"/>
        <v>0</v>
      </c>
      <c r="X168" s="39">
        <f t="shared" si="115"/>
        <v>0</v>
      </c>
      <c r="Y168" s="39">
        <f t="shared" si="115"/>
        <v>0</v>
      </c>
      <c r="Z168" s="39">
        <f t="shared" si="115"/>
        <v>0</v>
      </c>
      <c r="AA168" s="39">
        <f t="shared" si="115"/>
        <v>0</v>
      </c>
      <c r="AB168" s="39">
        <f t="shared" si="116"/>
        <v>0</v>
      </c>
      <c r="AC168" s="39">
        <f t="shared" si="116"/>
        <v>75</v>
      </c>
      <c r="AD168" s="39">
        <f t="shared" si="116"/>
        <v>0</v>
      </c>
      <c r="AE168" s="39">
        <f t="shared" si="116"/>
        <v>0</v>
      </c>
      <c r="AF168" s="39">
        <f t="shared" si="116"/>
        <v>0</v>
      </c>
      <c r="AG168" s="39">
        <f t="shared" si="116"/>
        <v>0</v>
      </c>
      <c r="AH168" s="39">
        <f t="shared" si="116"/>
        <v>0</v>
      </c>
      <c r="AI168" s="39">
        <f t="shared" si="116"/>
        <v>0</v>
      </c>
      <c r="AJ168" s="39">
        <f t="shared" si="116"/>
        <v>0</v>
      </c>
      <c r="AK168" s="39">
        <f t="shared" si="116"/>
        <v>0</v>
      </c>
      <c r="AL168" s="39">
        <f t="shared" si="116"/>
        <v>0</v>
      </c>
      <c r="AM168" s="39">
        <f t="shared" si="116"/>
        <v>0</v>
      </c>
    </row>
    <row r="169" spans="1:39" x14ac:dyDescent="0.25">
      <c r="A169" s="57" t="s">
        <v>99</v>
      </c>
      <c r="B169" s="58" t="s">
        <v>96</v>
      </c>
      <c r="C169" s="342">
        <v>5</v>
      </c>
      <c r="D169" s="59" t="s">
        <v>211</v>
      </c>
      <c r="E169" s="60">
        <v>46109</v>
      </c>
      <c r="F169" s="190">
        <v>0.58333333333333337</v>
      </c>
      <c r="G169" s="199" t="s">
        <v>21</v>
      </c>
      <c r="H169" s="209"/>
      <c r="I169" s="161" t="s">
        <v>187</v>
      </c>
      <c r="J169" s="162" t="s">
        <v>188</v>
      </c>
      <c r="K169" s="3">
        <f>WEEKDAY(E169)</f>
        <v>7</v>
      </c>
      <c r="L169">
        <f>IF(G169=L$1,1,IF(H169=L$1,1,""))</f>
        <v>1</v>
      </c>
      <c r="M169" s="39">
        <f t="shared" si="89"/>
        <v>85</v>
      </c>
      <c r="N169" s="42">
        <f>IF(H169&lt;&gt;"",20,10)</f>
        <v>10</v>
      </c>
      <c r="O169" s="39">
        <f t="shared" si="99"/>
        <v>0</v>
      </c>
      <c r="P169" s="39">
        <f t="shared" si="99"/>
        <v>0</v>
      </c>
      <c r="Q169" s="39">
        <f t="shared" si="106"/>
        <v>0</v>
      </c>
      <c r="R169" s="39">
        <f t="shared" si="115"/>
        <v>0</v>
      </c>
      <c r="S169" s="39">
        <f t="shared" si="115"/>
        <v>0</v>
      </c>
      <c r="T169" s="39">
        <f t="shared" si="115"/>
        <v>0</v>
      </c>
      <c r="U169" s="39">
        <f t="shared" si="115"/>
        <v>0</v>
      </c>
      <c r="V169" s="39">
        <f t="shared" si="115"/>
        <v>75</v>
      </c>
      <c r="W169" s="39">
        <f t="shared" si="115"/>
        <v>0</v>
      </c>
      <c r="X169" s="39">
        <f t="shared" si="115"/>
        <v>0</v>
      </c>
      <c r="Y169" s="39">
        <f t="shared" si="115"/>
        <v>0</v>
      </c>
      <c r="Z169" s="39">
        <f t="shared" si="115"/>
        <v>0</v>
      </c>
      <c r="AA169" s="39">
        <f t="shared" si="115"/>
        <v>0</v>
      </c>
      <c r="AB169" s="39">
        <f t="shared" si="116"/>
        <v>0</v>
      </c>
      <c r="AC169" s="39">
        <f t="shared" si="116"/>
        <v>0</v>
      </c>
      <c r="AD169" s="39">
        <f t="shared" si="116"/>
        <v>0</v>
      </c>
      <c r="AE169" s="39">
        <f t="shared" si="116"/>
        <v>0</v>
      </c>
      <c r="AF169" s="39">
        <f t="shared" si="116"/>
        <v>0</v>
      </c>
      <c r="AG169" s="39">
        <f t="shared" si="116"/>
        <v>0</v>
      </c>
      <c r="AH169" s="39">
        <f t="shared" si="116"/>
        <v>0</v>
      </c>
      <c r="AI169" s="39">
        <f t="shared" si="116"/>
        <v>0</v>
      </c>
      <c r="AJ169" s="39">
        <f t="shared" si="116"/>
        <v>0</v>
      </c>
      <c r="AK169" s="39">
        <f t="shared" si="116"/>
        <v>0</v>
      </c>
      <c r="AL169" s="39">
        <f t="shared" si="116"/>
        <v>0</v>
      </c>
      <c r="AM169" s="39">
        <f t="shared" si="116"/>
        <v>0</v>
      </c>
    </row>
    <row r="170" spans="1:39" x14ac:dyDescent="0.25">
      <c r="A170" s="16" t="s">
        <v>93</v>
      </c>
      <c r="B170" s="17" t="s">
        <v>95</v>
      </c>
      <c r="C170" s="259">
        <v>5</v>
      </c>
      <c r="D170" s="18" t="s">
        <v>211</v>
      </c>
      <c r="E170" s="36">
        <v>46109</v>
      </c>
      <c r="F170" s="185">
        <v>0.6875</v>
      </c>
      <c r="G170" s="199" t="s">
        <v>73</v>
      </c>
      <c r="H170" s="207"/>
      <c r="I170" s="161" t="s">
        <v>187</v>
      </c>
      <c r="J170" s="162" t="s">
        <v>188</v>
      </c>
      <c r="K170" s="3">
        <f>WEEKDAY(E170)</f>
        <v>7</v>
      </c>
      <c r="L170">
        <f>IF(G170=L$1,1,IF(H170=L$1,1,""))</f>
        <v>1</v>
      </c>
      <c r="M170" s="39">
        <f t="shared" si="89"/>
        <v>85</v>
      </c>
      <c r="N170" s="42">
        <f>IF(H170&lt;&gt;"",20,10)</f>
        <v>10</v>
      </c>
      <c r="O170" s="39">
        <f t="shared" si="99"/>
        <v>0</v>
      </c>
      <c r="P170" s="39">
        <f t="shared" si="99"/>
        <v>0</v>
      </c>
      <c r="Q170" s="39">
        <f t="shared" si="106"/>
        <v>0</v>
      </c>
      <c r="R170" s="39">
        <f t="shared" si="115"/>
        <v>0</v>
      </c>
      <c r="S170" s="39">
        <f t="shared" si="115"/>
        <v>0</v>
      </c>
      <c r="T170" s="39">
        <f t="shared" si="115"/>
        <v>75</v>
      </c>
      <c r="U170" s="39">
        <f t="shared" si="115"/>
        <v>0</v>
      </c>
      <c r="V170" s="39">
        <f t="shared" si="115"/>
        <v>0</v>
      </c>
      <c r="W170" s="39">
        <f t="shared" si="115"/>
        <v>0</v>
      </c>
      <c r="X170" s="39">
        <f t="shared" si="115"/>
        <v>0</v>
      </c>
      <c r="Y170" s="39">
        <f t="shared" si="115"/>
        <v>0</v>
      </c>
      <c r="Z170" s="39">
        <f t="shared" si="115"/>
        <v>0</v>
      </c>
      <c r="AA170" s="39">
        <f t="shared" si="115"/>
        <v>0</v>
      </c>
      <c r="AB170" s="39">
        <f t="shared" si="116"/>
        <v>0</v>
      </c>
      <c r="AC170" s="39">
        <f t="shared" si="116"/>
        <v>0</v>
      </c>
      <c r="AD170" s="39">
        <f t="shared" si="116"/>
        <v>0</v>
      </c>
      <c r="AE170" s="39">
        <f t="shared" si="116"/>
        <v>0</v>
      </c>
      <c r="AF170" s="39">
        <f t="shared" si="116"/>
        <v>0</v>
      </c>
      <c r="AG170" s="39">
        <f t="shared" si="116"/>
        <v>0</v>
      </c>
      <c r="AH170" s="39">
        <f t="shared" si="116"/>
        <v>0</v>
      </c>
      <c r="AI170" s="39">
        <f t="shared" si="116"/>
        <v>0</v>
      </c>
      <c r="AJ170" s="39">
        <f t="shared" si="116"/>
        <v>0</v>
      </c>
      <c r="AK170" s="39">
        <f t="shared" si="116"/>
        <v>0</v>
      </c>
      <c r="AL170" s="39">
        <f t="shared" si="116"/>
        <v>0</v>
      </c>
      <c r="AM170" s="39">
        <f t="shared" si="116"/>
        <v>0</v>
      </c>
    </row>
    <row r="171" spans="1:39" x14ac:dyDescent="0.25">
      <c r="A171" s="7" t="s">
        <v>94</v>
      </c>
      <c r="B171" s="8" t="s">
        <v>95</v>
      </c>
      <c r="C171" s="268">
        <v>5</v>
      </c>
      <c r="D171" s="9" t="s">
        <v>211</v>
      </c>
      <c r="E171" s="31">
        <v>46110</v>
      </c>
      <c r="F171" s="186">
        <v>0.375</v>
      </c>
      <c r="G171" s="200" t="s">
        <v>102</v>
      </c>
      <c r="H171" s="196"/>
      <c r="I171" s="163" t="s">
        <v>186</v>
      </c>
      <c r="J171" s="164" t="s">
        <v>189</v>
      </c>
      <c r="K171" s="3">
        <f t="shared" ref="K171:K181" si="117">WEEKDAY(E171)</f>
        <v>1</v>
      </c>
      <c r="L171">
        <f t="shared" ref="L171:L182" si="118">IF(G171=L$1,1,IF(H171=L$1,1,""))</f>
        <v>1</v>
      </c>
      <c r="M171" s="39">
        <f t="shared" si="89"/>
        <v>80</v>
      </c>
      <c r="N171" s="42">
        <f t="shared" ref="N171:N181" si="119">IF(H171&lt;&gt;"",20,10)</f>
        <v>10</v>
      </c>
      <c r="O171" s="39">
        <f t="shared" si="99"/>
        <v>0</v>
      </c>
      <c r="P171" s="39">
        <f t="shared" si="99"/>
        <v>0</v>
      </c>
      <c r="Q171" s="39">
        <f t="shared" si="106"/>
        <v>0</v>
      </c>
      <c r="R171" s="39">
        <f t="shared" si="115"/>
        <v>0</v>
      </c>
      <c r="S171" s="39">
        <f t="shared" si="115"/>
        <v>0</v>
      </c>
      <c r="T171" s="39">
        <f t="shared" si="115"/>
        <v>0</v>
      </c>
      <c r="U171" s="39">
        <f t="shared" si="115"/>
        <v>0</v>
      </c>
      <c r="V171" s="39">
        <f t="shared" si="115"/>
        <v>0</v>
      </c>
      <c r="W171" s="39">
        <f t="shared" si="115"/>
        <v>70</v>
      </c>
      <c r="X171" s="39">
        <f t="shared" si="115"/>
        <v>0</v>
      </c>
      <c r="Y171" s="39">
        <f t="shared" si="115"/>
        <v>0</v>
      </c>
      <c r="Z171" s="39">
        <f t="shared" si="115"/>
        <v>0</v>
      </c>
      <c r="AA171" s="39">
        <f t="shared" si="115"/>
        <v>0</v>
      </c>
      <c r="AB171" s="39">
        <f t="shared" si="116"/>
        <v>0</v>
      </c>
      <c r="AC171" s="39">
        <f t="shared" si="116"/>
        <v>0</v>
      </c>
      <c r="AD171" s="39">
        <f t="shared" si="116"/>
        <v>0</v>
      </c>
      <c r="AE171" s="39">
        <f t="shared" si="116"/>
        <v>0</v>
      </c>
      <c r="AF171" s="39">
        <f t="shared" si="116"/>
        <v>0</v>
      </c>
      <c r="AG171" s="39">
        <f t="shared" si="116"/>
        <v>0</v>
      </c>
      <c r="AH171" s="39">
        <f t="shared" si="116"/>
        <v>0</v>
      </c>
      <c r="AI171" s="39">
        <f t="shared" si="116"/>
        <v>0</v>
      </c>
      <c r="AJ171" s="39">
        <f t="shared" si="116"/>
        <v>0</v>
      </c>
      <c r="AK171" s="39">
        <f t="shared" si="116"/>
        <v>0</v>
      </c>
      <c r="AL171" s="39">
        <f t="shared" si="116"/>
        <v>0</v>
      </c>
      <c r="AM171" s="39">
        <f t="shared" si="116"/>
        <v>0</v>
      </c>
    </row>
    <row r="172" spans="1:39" x14ac:dyDescent="0.25">
      <c r="A172" s="7" t="s">
        <v>93</v>
      </c>
      <c r="B172" s="8" t="s">
        <v>89</v>
      </c>
      <c r="C172" s="268">
        <v>5</v>
      </c>
      <c r="D172" s="9" t="s">
        <v>211</v>
      </c>
      <c r="E172" s="31">
        <v>46110</v>
      </c>
      <c r="F172" s="186">
        <v>0.47916666666666669</v>
      </c>
      <c r="G172" s="200" t="s">
        <v>102</v>
      </c>
      <c r="H172" s="196"/>
      <c r="I172" s="163" t="s">
        <v>186</v>
      </c>
      <c r="J172" s="164" t="s">
        <v>189</v>
      </c>
      <c r="K172" s="3">
        <f t="shared" si="117"/>
        <v>1</v>
      </c>
      <c r="L172">
        <f t="shared" si="118"/>
        <v>1</v>
      </c>
      <c r="M172" s="39">
        <f t="shared" si="89"/>
        <v>80</v>
      </c>
      <c r="N172" s="42">
        <f t="shared" si="119"/>
        <v>10</v>
      </c>
      <c r="O172" s="39">
        <f t="shared" si="99"/>
        <v>0</v>
      </c>
      <c r="P172" s="39">
        <f t="shared" si="99"/>
        <v>0</v>
      </c>
      <c r="Q172" s="39">
        <f t="shared" si="106"/>
        <v>0</v>
      </c>
      <c r="R172" s="39">
        <f t="shared" si="115"/>
        <v>0</v>
      </c>
      <c r="S172" s="39">
        <f t="shared" si="115"/>
        <v>0</v>
      </c>
      <c r="T172" s="39">
        <f t="shared" si="115"/>
        <v>0</v>
      </c>
      <c r="U172" s="39">
        <f t="shared" si="115"/>
        <v>0</v>
      </c>
      <c r="V172" s="39">
        <f t="shared" si="115"/>
        <v>0</v>
      </c>
      <c r="W172" s="39">
        <f t="shared" si="115"/>
        <v>70</v>
      </c>
      <c r="X172" s="39">
        <f t="shared" si="115"/>
        <v>0</v>
      </c>
      <c r="Y172" s="39">
        <f t="shared" si="115"/>
        <v>0</v>
      </c>
      <c r="Z172" s="39">
        <f t="shared" si="115"/>
        <v>0</v>
      </c>
      <c r="AA172" s="39">
        <f t="shared" si="115"/>
        <v>0</v>
      </c>
      <c r="AB172" s="39">
        <f t="shared" si="116"/>
        <v>0</v>
      </c>
      <c r="AC172" s="39">
        <f t="shared" si="116"/>
        <v>0</v>
      </c>
      <c r="AD172" s="39">
        <f t="shared" si="116"/>
        <v>0</v>
      </c>
      <c r="AE172" s="39">
        <f t="shared" si="116"/>
        <v>0</v>
      </c>
      <c r="AF172" s="39">
        <f t="shared" si="116"/>
        <v>0</v>
      </c>
      <c r="AG172" s="39">
        <f t="shared" si="116"/>
        <v>0</v>
      </c>
      <c r="AH172" s="39">
        <f t="shared" si="116"/>
        <v>0</v>
      </c>
      <c r="AI172" s="39">
        <f t="shared" si="116"/>
        <v>0</v>
      </c>
      <c r="AJ172" s="39">
        <f t="shared" si="116"/>
        <v>0</v>
      </c>
      <c r="AK172" s="39">
        <f t="shared" si="116"/>
        <v>0</v>
      </c>
      <c r="AL172" s="39">
        <f t="shared" si="116"/>
        <v>0</v>
      </c>
      <c r="AM172" s="39">
        <f t="shared" si="116"/>
        <v>0</v>
      </c>
    </row>
    <row r="173" spans="1:39" x14ac:dyDescent="0.25">
      <c r="A173" s="7" t="s">
        <v>90</v>
      </c>
      <c r="B173" s="8" t="s">
        <v>92</v>
      </c>
      <c r="C173" s="268">
        <v>5</v>
      </c>
      <c r="D173" s="9" t="s">
        <v>211</v>
      </c>
      <c r="E173" s="31">
        <v>46110</v>
      </c>
      <c r="F173" s="186">
        <v>0.58333333333333337</v>
      </c>
      <c r="G173" s="200" t="s">
        <v>75</v>
      </c>
      <c r="H173" s="196"/>
      <c r="I173" s="163" t="s">
        <v>186</v>
      </c>
      <c r="J173" s="164" t="s">
        <v>189</v>
      </c>
      <c r="K173" s="3">
        <f t="shared" si="117"/>
        <v>1</v>
      </c>
      <c r="L173">
        <f t="shared" si="118"/>
        <v>1</v>
      </c>
      <c r="M173" s="39">
        <f t="shared" si="89"/>
        <v>80</v>
      </c>
      <c r="N173" s="42">
        <f t="shared" si="119"/>
        <v>10</v>
      </c>
      <c r="O173" s="39">
        <f t="shared" si="99"/>
        <v>0</v>
      </c>
      <c r="P173" s="39">
        <f t="shared" si="99"/>
        <v>0</v>
      </c>
      <c r="Q173" s="39">
        <f t="shared" si="106"/>
        <v>0</v>
      </c>
      <c r="R173" s="39">
        <f t="shared" si="115"/>
        <v>0</v>
      </c>
      <c r="S173" s="39">
        <f t="shared" si="115"/>
        <v>0</v>
      </c>
      <c r="T173" s="39">
        <f t="shared" si="115"/>
        <v>0</v>
      </c>
      <c r="U173" s="39">
        <f t="shared" si="115"/>
        <v>0</v>
      </c>
      <c r="V173" s="39">
        <f t="shared" si="115"/>
        <v>0</v>
      </c>
      <c r="W173" s="39">
        <f t="shared" si="115"/>
        <v>0</v>
      </c>
      <c r="X173" s="39">
        <f t="shared" si="115"/>
        <v>0</v>
      </c>
      <c r="Y173" s="39">
        <f t="shared" si="115"/>
        <v>0</v>
      </c>
      <c r="Z173" s="39">
        <f t="shared" si="115"/>
        <v>0</v>
      </c>
      <c r="AA173" s="39">
        <f t="shared" si="115"/>
        <v>0</v>
      </c>
      <c r="AB173" s="39">
        <f t="shared" si="116"/>
        <v>70</v>
      </c>
      <c r="AC173" s="39">
        <f t="shared" si="116"/>
        <v>0</v>
      </c>
      <c r="AD173" s="39">
        <f t="shared" si="116"/>
        <v>0</v>
      </c>
      <c r="AE173" s="39">
        <f t="shared" si="116"/>
        <v>0</v>
      </c>
      <c r="AF173" s="39">
        <f t="shared" si="116"/>
        <v>0</v>
      </c>
      <c r="AG173" s="39">
        <f t="shared" si="116"/>
        <v>0</v>
      </c>
      <c r="AH173" s="39">
        <f t="shared" si="116"/>
        <v>0</v>
      </c>
      <c r="AI173" s="39">
        <f t="shared" si="116"/>
        <v>0</v>
      </c>
      <c r="AJ173" s="39">
        <f t="shared" si="116"/>
        <v>0</v>
      </c>
      <c r="AK173" s="39">
        <f t="shared" si="116"/>
        <v>0</v>
      </c>
      <c r="AL173" s="39">
        <f t="shared" si="116"/>
        <v>0</v>
      </c>
      <c r="AM173" s="39">
        <f t="shared" si="116"/>
        <v>0</v>
      </c>
    </row>
    <row r="174" spans="1:39" x14ac:dyDescent="0.25">
      <c r="A174" s="7" t="s">
        <v>100</v>
      </c>
      <c r="B174" s="8" t="s">
        <v>99</v>
      </c>
      <c r="C174" s="268">
        <v>5</v>
      </c>
      <c r="D174" s="9" t="s">
        <v>211</v>
      </c>
      <c r="E174" s="31">
        <v>46110</v>
      </c>
      <c r="F174" s="186">
        <v>0.375</v>
      </c>
      <c r="G174" s="200" t="s">
        <v>74</v>
      </c>
      <c r="H174" s="196"/>
      <c r="I174" s="163" t="s">
        <v>187</v>
      </c>
      <c r="J174" s="164" t="s">
        <v>189</v>
      </c>
      <c r="K174" s="3">
        <f t="shared" si="117"/>
        <v>1</v>
      </c>
      <c r="L174">
        <f t="shared" si="118"/>
        <v>1</v>
      </c>
      <c r="M174" s="39">
        <f t="shared" si="89"/>
        <v>80</v>
      </c>
      <c r="N174" s="42">
        <f t="shared" si="119"/>
        <v>10</v>
      </c>
      <c r="O174" s="39">
        <f t="shared" si="99"/>
        <v>0</v>
      </c>
      <c r="P174" s="39">
        <f t="shared" si="99"/>
        <v>0</v>
      </c>
      <c r="Q174" s="39">
        <f t="shared" si="106"/>
        <v>0</v>
      </c>
      <c r="R174" s="39">
        <f t="shared" si="115"/>
        <v>0</v>
      </c>
      <c r="S174" s="39">
        <f t="shared" si="115"/>
        <v>0</v>
      </c>
      <c r="T174" s="39">
        <f t="shared" si="115"/>
        <v>0</v>
      </c>
      <c r="U174" s="39">
        <f t="shared" si="115"/>
        <v>0</v>
      </c>
      <c r="V174" s="39">
        <f t="shared" si="115"/>
        <v>0</v>
      </c>
      <c r="W174" s="39">
        <f t="shared" si="115"/>
        <v>0</v>
      </c>
      <c r="X174" s="39">
        <f t="shared" si="115"/>
        <v>0</v>
      </c>
      <c r="Y174" s="39">
        <f t="shared" si="115"/>
        <v>0</v>
      </c>
      <c r="Z174" s="39">
        <f t="shared" si="115"/>
        <v>0</v>
      </c>
      <c r="AA174" s="39">
        <f t="shared" si="115"/>
        <v>70</v>
      </c>
      <c r="AB174" s="39">
        <f t="shared" si="116"/>
        <v>0</v>
      </c>
      <c r="AC174" s="39">
        <f t="shared" si="116"/>
        <v>0</v>
      </c>
      <c r="AD174" s="39">
        <f t="shared" si="116"/>
        <v>0</v>
      </c>
      <c r="AE174" s="39">
        <f t="shared" si="116"/>
        <v>0</v>
      </c>
      <c r="AF174" s="39">
        <f t="shared" si="116"/>
        <v>0</v>
      </c>
      <c r="AG174" s="39">
        <f t="shared" si="116"/>
        <v>0</v>
      </c>
      <c r="AH174" s="39">
        <f t="shared" si="116"/>
        <v>0</v>
      </c>
      <c r="AI174" s="39">
        <f t="shared" si="116"/>
        <v>0</v>
      </c>
      <c r="AJ174" s="39">
        <f t="shared" si="116"/>
        <v>0</v>
      </c>
      <c r="AK174" s="39">
        <f t="shared" si="116"/>
        <v>0</v>
      </c>
      <c r="AL174" s="39">
        <f t="shared" si="116"/>
        <v>0</v>
      </c>
      <c r="AM174" s="39">
        <f t="shared" si="116"/>
        <v>0</v>
      </c>
    </row>
    <row r="175" spans="1:39" x14ac:dyDescent="0.25">
      <c r="A175" s="7" t="s">
        <v>96</v>
      </c>
      <c r="B175" s="8" t="s">
        <v>97</v>
      </c>
      <c r="C175" s="268">
        <v>5</v>
      </c>
      <c r="D175" s="9" t="s">
        <v>211</v>
      </c>
      <c r="E175" s="31">
        <v>46110</v>
      </c>
      <c r="F175" s="186">
        <v>0.47916666666666669</v>
      </c>
      <c r="G175" s="200" t="s">
        <v>23</v>
      </c>
      <c r="H175" s="196"/>
      <c r="I175" s="163" t="s">
        <v>187</v>
      </c>
      <c r="J175" s="164" t="s">
        <v>189</v>
      </c>
      <c r="K175" s="3">
        <f t="shared" si="117"/>
        <v>1</v>
      </c>
      <c r="L175">
        <f t="shared" si="118"/>
        <v>1</v>
      </c>
      <c r="M175" s="39">
        <f t="shared" ref="M175:M182" si="120">SUM(N175:AM175)</f>
        <v>80</v>
      </c>
      <c r="N175" s="42">
        <f t="shared" si="119"/>
        <v>10</v>
      </c>
      <c r="O175" s="39">
        <f t="shared" si="99"/>
        <v>0</v>
      </c>
      <c r="P175" s="39">
        <f t="shared" si="99"/>
        <v>0</v>
      </c>
      <c r="Q175" s="39">
        <f t="shared" si="106"/>
        <v>0</v>
      </c>
      <c r="R175" s="39">
        <f t="shared" si="115"/>
        <v>0</v>
      </c>
      <c r="S175" s="39">
        <f t="shared" si="115"/>
        <v>0</v>
      </c>
      <c r="T175" s="39">
        <f t="shared" si="115"/>
        <v>0</v>
      </c>
      <c r="U175" s="39">
        <f t="shared" si="115"/>
        <v>0</v>
      </c>
      <c r="V175" s="39">
        <f t="shared" si="115"/>
        <v>0</v>
      </c>
      <c r="W175" s="39">
        <f t="shared" si="115"/>
        <v>0</v>
      </c>
      <c r="X175" s="39">
        <f t="shared" si="115"/>
        <v>70</v>
      </c>
      <c r="Y175" s="39">
        <f t="shared" si="115"/>
        <v>0</v>
      </c>
      <c r="Z175" s="39">
        <f t="shared" si="115"/>
        <v>0</v>
      </c>
      <c r="AA175" s="39">
        <f t="shared" si="115"/>
        <v>0</v>
      </c>
      <c r="AB175" s="39">
        <f t="shared" si="116"/>
        <v>0</v>
      </c>
      <c r="AC175" s="39">
        <f t="shared" si="116"/>
        <v>0</v>
      </c>
      <c r="AD175" s="39">
        <f t="shared" si="116"/>
        <v>0</v>
      </c>
      <c r="AE175" s="39">
        <f t="shared" si="116"/>
        <v>0</v>
      </c>
      <c r="AF175" s="39">
        <f t="shared" si="116"/>
        <v>0</v>
      </c>
      <c r="AG175" s="39">
        <f t="shared" si="116"/>
        <v>0</v>
      </c>
      <c r="AH175" s="39">
        <f t="shared" si="116"/>
        <v>0</v>
      </c>
      <c r="AI175" s="39">
        <f t="shared" si="116"/>
        <v>0</v>
      </c>
      <c r="AJ175" s="39">
        <f t="shared" si="116"/>
        <v>0</v>
      </c>
      <c r="AK175" s="39">
        <f t="shared" si="116"/>
        <v>0</v>
      </c>
      <c r="AL175" s="39">
        <f t="shared" si="116"/>
        <v>0</v>
      </c>
      <c r="AM175" s="39">
        <f t="shared" si="116"/>
        <v>0</v>
      </c>
    </row>
    <row r="176" spans="1:39" x14ac:dyDescent="0.25">
      <c r="A176" s="7" t="s">
        <v>101</v>
      </c>
      <c r="B176" s="461" t="s">
        <v>98</v>
      </c>
      <c r="C176" s="278">
        <v>5</v>
      </c>
      <c r="D176" s="462" t="s">
        <v>211</v>
      </c>
      <c r="E176" s="463">
        <v>46110</v>
      </c>
      <c r="F176" s="464">
        <v>0.58333333333333337</v>
      </c>
      <c r="G176" s="465" t="s">
        <v>23</v>
      </c>
      <c r="H176" s="196"/>
      <c r="I176" s="466" t="s">
        <v>187</v>
      </c>
      <c r="J176" s="467" t="s">
        <v>189</v>
      </c>
      <c r="K176" s="3">
        <f t="shared" si="117"/>
        <v>1</v>
      </c>
      <c r="L176">
        <f t="shared" si="118"/>
        <v>1</v>
      </c>
      <c r="M176" s="39">
        <f t="shared" si="120"/>
        <v>80</v>
      </c>
      <c r="N176" s="42">
        <f t="shared" si="119"/>
        <v>10</v>
      </c>
      <c r="O176" s="39">
        <f t="shared" si="99"/>
        <v>0</v>
      </c>
      <c r="P176" s="39">
        <f t="shared" si="99"/>
        <v>0</v>
      </c>
      <c r="Q176" s="39">
        <f t="shared" si="106"/>
        <v>0</v>
      </c>
      <c r="R176" s="39">
        <f t="shared" si="115"/>
        <v>0</v>
      </c>
      <c r="S176" s="39">
        <f t="shared" si="115"/>
        <v>0</v>
      </c>
      <c r="T176" s="39">
        <f t="shared" si="115"/>
        <v>0</v>
      </c>
      <c r="U176" s="39">
        <f t="shared" si="115"/>
        <v>0</v>
      </c>
      <c r="V176" s="39">
        <f t="shared" si="115"/>
        <v>0</v>
      </c>
      <c r="W176" s="39">
        <f t="shared" si="115"/>
        <v>0</v>
      </c>
      <c r="X176" s="39">
        <f t="shared" si="115"/>
        <v>70</v>
      </c>
      <c r="Y176" s="39">
        <f t="shared" si="115"/>
        <v>0</v>
      </c>
      <c r="Z176" s="39">
        <f t="shared" si="115"/>
        <v>0</v>
      </c>
      <c r="AA176" s="39">
        <f t="shared" si="115"/>
        <v>0</v>
      </c>
      <c r="AB176" s="39">
        <f t="shared" si="116"/>
        <v>0</v>
      </c>
      <c r="AC176" s="39">
        <f t="shared" si="116"/>
        <v>0</v>
      </c>
      <c r="AD176" s="39">
        <f t="shared" si="116"/>
        <v>0</v>
      </c>
      <c r="AE176" s="39">
        <f t="shared" si="116"/>
        <v>0</v>
      </c>
      <c r="AF176" s="39">
        <f t="shared" si="116"/>
        <v>0</v>
      </c>
      <c r="AG176" s="39">
        <f t="shared" si="116"/>
        <v>0</v>
      </c>
      <c r="AH176" s="39">
        <f t="shared" si="116"/>
        <v>0</v>
      </c>
      <c r="AI176" s="39">
        <f t="shared" si="116"/>
        <v>0</v>
      </c>
      <c r="AJ176" s="39">
        <f t="shared" si="116"/>
        <v>0</v>
      </c>
      <c r="AK176" s="39">
        <f t="shared" si="116"/>
        <v>0</v>
      </c>
      <c r="AL176" s="39">
        <f t="shared" si="116"/>
        <v>0</v>
      </c>
      <c r="AM176" s="39">
        <f t="shared" si="116"/>
        <v>0</v>
      </c>
    </row>
    <row r="177" spans="1:41" x14ac:dyDescent="0.25">
      <c r="A177" s="506" t="s">
        <v>90</v>
      </c>
      <c r="B177" s="479" t="s">
        <v>97</v>
      </c>
      <c r="C177" s="480">
        <v>6</v>
      </c>
      <c r="D177" s="481" t="s">
        <v>211</v>
      </c>
      <c r="E177" s="482">
        <v>46110</v>
      </c>
      <c r="F177" s="483">
        <v>0.375</v>
      </c>
      <c r="G177" s="477" t="s">
        <v>218</v>
      </c>
      <c r="H177" s="196"/>
      <c r="I177" s="478" t="s">
        <v>212</v>
      </c>
      <c r="J177" s="507" t="s">
        <v>17</v>
      </c>
      <c r="K177" s="3">
        <f t="shared" ref="K177" si="121">WEEKDAY(E177)</f>
        <v>1</v>
      </c>
      <c r="L177">
        <f t="shared" ref="L177" si="122">IF(G177=L$1,1,IF(H177=L$1,1,""))</f>
        <v>1</v>
      </c>
      <c r="M177" s="39">
        <f t="shared" ref="M177" si="123">SUM(N177:AM177)</f>
        <v>10</v>
      </c>
      <c r="N177" s="42">
        <f t="shared" ref="N177" si="124">IF(H177&lt;&gt;"",20,10)</f>
        <v>10</v>
      </c>
      <c r="O177" s="39">
        <f t="shared" si="99"/>
        <v>0</v>
      </c>
      <c r="P177" s="39">
        <f t="shared" si="99"/>
        <v>0</v>
      </c>
      <c r="Q177" s="39">
        <f t="shared" si="106"/>
        <v>0</v>
      </c>
      <c r="R177" s="39">
        <f t="shared" si="115"/>
        <v>0</v>
      </c>
      <c r="S177" s="39">
        <f t="shared" si="115"/>
        <v>0</v>
      </c>
      <c r="T177" s="39">
        <f t="shared" si="115"/>
        <v>0</v>
      </c>
      <c r="U177" s="39">
        <f t="shared" si="115"/>
        <v>0</v>
      </c>
      <c r="V177" s="39">
        <f t="shared" si="115"/>
        <v>0</v>
      </c>
      <c r="W177" s="39">
        <f t="shared" si="115"/>
        <v>0</v>
      </c>
      <c r="X177" s="39">
        <f t="shared" si="115"/>
        <v>0</v>
      </c>
      <c r="Y177" s="39">
        <f t="shared" si="115"/>
        <v>0</v>
      </c>
      <c r="Z177" s="39">
        <f t="shared" si="115"/>
        <v>0</v>
      </c>
      <c r="AA177" s="39">
        <f t="shared" si="115"/>
        <v>0</v>
      </c>
      <c r="AB177" s="39">
        <f t="shared" si="116"/>
        <v>0</v>
      </c>
      <c r="AC177" s="39">
        <f t="shared" si="116"/>
        <v>0</v>
      </c>
      <c r="AD177" s="39">
        <f t="shared" si="116"/>
        <v>0</v>
      </c>
      <c r="AE177" s="39">
        <f t="shared" si="116"/>
        <v>0</v>
      </c>
      <c r="AF177" s="39">
        <f t="shared" si="116"/>
        <v>0</v>
      </c>
      <c r="AG177" s="39">
        <f t="shared" si="116"/>
        <v>0</v>
      </c>
      <c r="AH177" s="39">
        <f t="shared" si="116"/>
        <v>0</v>
      </c>
      <c r="AI177" s="39">
        <f t="shared" si="116"/>
        <v>0</v>
      </c>
      <c r="AJ177" s="39">
        <f t="shared" si="116"/>
        <v>0</v>
      </c>
      <c r="AK177" s="39">
        <f t="shared" si="116"/>
        <v>0</v>
      </c>
      <c r="AL177" s="39">
        <f t="shared" si="116"/>
        <v>0</v>
      </c>
      <c r="AM177" s="39">
        <f t="shared" si="116"/>
        <v>0</v>
      </c>
    </row>
    <row r="178" spans="1:41" x14ac:dyDescent="0.25">
      <c r="A178" s="506" t="s">
        <v>90</v>
      </c>
      <c r="B178" s="479" t="s">
        <v>97</v>
      </c>
      <c r="C178" s="480">
        <v>6</v>
      </c>
      <c r="D178" s="481" t="s">
        <v>211</v>
      </c>
      <c r="E178" s="482">
        <v>46110</v>
      </c>
      <c r="F178" s="483">
        <v>0.45833333333333331</v>
      </c>
      <c r="G178" s="477" t="s">
        <v>74</v>
      </c>
      <c r="H178" s="196"/>
      <c r="I178" s="478" t="s">
        <v>212</v>
      </c>
      <c r="J178" s="507" t="s">
        <v>17</v>
      </c>
      <c r="K178" s="3"/>
      <c r="M178" s="39"/>
      <c r="N178" s="42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</row>
    <row r="179" spans="1:41" x14ac:dyDescent="0.25">
      <c r="A179" s="484" t="s">
        <v>90</v>
      </c>
      <c r="B179" s="479" t="s">
        <v>97</v>
      </c>
      <c r="C179" s="480">
        <v>6</v>
      </c>
      <c r="D179" s="481" t="s">
        <v>211</v>
      </c>
      <c r="E179" s="482">
        <v>46110</v>
      </c>
      <c r="F179" s="483">
        <v>0.54166666666666663</v>
      </c>
      <c r="G179" s="477" t="s">
        <v>111</v>
      </c>
      <c r="H179" s="196"/>
      <c r="I179" s="478" t="s">
        <v>212</v>
      </c>
      <c r="J179" s="507" t="s">
        <v>17</v>
      </c>
      <c r="K179" s="3"/>
      <c r="M179" s="39"/>
      <c r="N179" s="42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</row>
    <row r="180" spans="1:41" x14ac:dyDescent="0.25">
      <c r="A180" s="484" t="s">
        <v>90</v>
      </c>
      <c r="B180" s="479" t="s">
        <v>97</v>
      </c>
      <c r="C180" s="480">
        <v>6</v>
      </c>
      <c r="D180" s="481" t="s">
        <v>211</v>
      </c>
      <c r="E180" s="482">
        <v>46110</v>
      </c>
      <c r="F180" s="483">
        <v>0.625</v>
      </c>
      <c r="G180" s="477" t="s">
        <v>219</v>
      </c>
      <c r="H180" s="196"/>
      <c r="I180" s="478" t="s">
        <v>212</v>
      </c>
      <c r="J180" s="507" t="s">
        <v>17</v>
      </c>
      <c r="K180" s="3"/>
      <c r="M180" s="39"/>
      <c r="N180" s="42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</row>
    <row r="181" spans="1:41" ht="15.75" thickBot="1" x14ac:dyDescent="0.3">
      <c r="A181" s="508" t="s">
        <v>90</v>
      </c>
      <c r="B181" s="509" t="s">
        <v>97</v>
      </c>
      <c r="C181" s="510">
        <v>6</v>
      </c>
      <c r="D181" s="511" t="s">
        <v>211</v>
      </c>
      <c r="E181" s="512">
        <v>46110</v>
      </c>
      <c r="F181" s="513">
        <v>0.70833333333333337</v>
      </c>
      <c r="G181" s="514" t="s">
        <v>219</v>
      </c>
      <c r="H181" s="211"/>
      <c r="I181" s="515" t="s">
        <v>212</v>
      </c>
      <c r="J181" s="516" t="s">
        <v>17</v>
      </c>
      <c r="K181" s="3">
        <f t="shared" si="117"/>
        <v>1</v>
      </c>
      <c r="L181">
        <f t="shared" si="118"/>
        <v>1</v>
      </c>
      <c r="M181" s="39">
        <f t="shared" si="120"/>
        <v>10</v>
      </c>
      <c r="N181" s="42">
        <f t="shared" si="119"/>
        <v>10</v>
      </c>
      <c r="O181" s="39">
        <f t="shared" ref="O181:AM181" si="125">IF($G181=O$1,VLOOKUP($J181,$AP:$AQ,2,FALSE),IF($H181=O$1,70,0))</f>
        <v>0</v>
      </c>
      <c r="P181" s="39">
        <f t="shared" si="125"/>
        <v>0</v>
      </c>
      <c r="Q181" s="39">
        <f t="shared" si="125"/>
        <v>0</v>
      </c>
      <c r="R181" s="39">
        <f t="shared" si="125"/>
        <v>0</v>
      </c>
      <c r="S181" s="39">
        <f t="shared" si="125"/>
        <v>0</v>
      </c>
      <c r="T181" s="39">
        <f t="shared" si="125"/>
        <v>0</v>
      </c>
      <c r="U181" s="39">
        <f t="shared" si="125"/>
        <v>0</v>
      </c>
      <c r="V181" s="39">
        <f t="shared" si="125"/>
        <v>0</v>
      </c>
      <c r="W181" s="39">
        <f t="shared" si="125"/>
        <v>0</v>
      </c>
      <c r="X181" s="39">
        <f t="shared" si="125"/>
        <v>0</v>
      </c>
      <c r="Y181" s="39">
        <f t="shared" si="125"/>
        <v>0</v>
      </c>
      <c r="Z181" s="39">
        <f t="shared" si="125"/>
        <v>0</v>
      </c>
      <c r="AA181" s="39">
        <f t="shared" si="125"/>
        <v>0</v>
      </c>
      <c r="AB181" s="39">
        <f t="shared" si="125"/>
        <v>0</v>
      </c>
      <c r="AC181" s="39">
        <f t="shared" si="125"/>
        <v>0</v>
      </c>
      <c r="AD181" s="39">
        <f t="shared" si="125"/>
        <v>0</v>
      </c>
      <c r="AE181" s="39">
        <f t="shared" si="125"/>
        <v>0</v>
      </c>
      <c r="AF181" s="39">
        <f t="shared" si="125"/>
        <v>0</v>
      </c>
      <c r="AG181" s="39">
        <f t="shared" si="125"/>
        <v>0</v>
      </c>
      <c r="AH181" s="39">
        <f t="shared" si="125"/>
        <v>0</v>
      </c>
      <c r="AI181" s="39">
        <f t="shared" si="125"/>
        <v>0</v>
      </c>
      <c r="AJ181" s="39">
        <f t="shared" si="125"/>
        <v>0</v>
      </c>
      <c r="AK181" s="39">
        <f t="shared" si="125"/>
        <v>0</v>
      </c>
      <c r="AL181" s="39">
        <f t="shared" si="125"/>
        <v>0</v>
      </c>
      <c r="AM181" s="39">
        <f t="shared" si="125"/>
        <v>0</v>
      </c>
    </row>
    <row r="182" spans="1:41" ht="13.5" customHeight="1" thickBot="1" x14ac:dyDescent="0.3">
      <c r="A182" s="495"/>
      <c r="B182" s="468"/>
      <c r="C182" s="469"/>
      <c r="D182" s="470"/>
      <c r="E182" s="471"/>
      <c r="F182" s="472"/>
      <c r="G182" s="473"/>
      <c r="H182" s="474"/>
      <c r="I182" s="475"/>
      <c r="J182" s="476" t="str">
        <f>"Totals for " &amp; D176 &amp;"…"</f>
        <v>Totals for Mar 23-Mar 29…</v>
      </c>
      <c r="K182" s="3">
        <v>9</v>
      </c>
      <c r="L182">
        <f t="shared" si="118"/>
        <v>1</v>
      </c>
      <c r="M182" s="46">
        <f t="shared" si="120"/>
        <v>2885</v>
      </c>
      <c r="N182" s="43">
        <f t="shared" ref="N182:T182" si="126">SUM(N143:N176)</f>
        <v>400</v>
      </c>
      <c r="O182" s="47">
        <f t="shared" si="126"/>
        <v>150</v>
      </c>
      <c r="P182" s="47">
        <f t="shared" si="126"/>
        <v>365</v>
      </c>
      <c r="Q182" s="47">
        <f t="shared" si="126"/>
        <v>0</v>
      </c>
      <c r="R182" s="47">
        <f t="shared" si="126"/>
        <v>0</v>
      </c>
      <c r="S182" s="47">
        <f t="shared" si="126"/>
        <v>290</v>
      </c>
      <c r="T182" s="47">
        <f t="shared" si="126"/>
        <v>145</v>
      </c>
      <c r="U182" s="47">
        <f>SUM(U143:U176)</f>
        <v>160</v>
      </c>
      <c r="V182" s="47">
        <f t="shared" ref="V182:AE182" si="127">SUM(V143:V176)</f>
        <v>370</v>
      </c>
      <c r="W182" s="47">
        <f t="shared" si="127"/>
        <v>140</v>
      </c>
      <c r="X182" s="47">
        <f t="shared" si="127"/>
        <v>140</v>
      </c>
      <c r="Y182" s="47">
        <f t="shared" si="127"/>
        <v>75</v>
      </c>
      <c r="Z182" s="47">
        <f t="shared" si="127"/>
        <v>0</v>
      </c>
      <c r="AA182" s="47">
        <f t="shared" si="127"/>
        <v>190</v>
      </c>
      <c r="AB182" s="47">
        <f t="shared" si="127"/>
        <v>120</v>
      </c>
      <c r="AC182" s="47">
        <f t="shared" si="127"/>
        <v>290</v>
      </c>
      <c r="AD182" s="47">
        <f t="shared" si="127"/>
        <v>0</v>
      </c>
      <c r="AE182" s="47">
        <f t="shared" si="127"/>
        <v>0</v>
      </c>
      <c r="AF182" s="43">
        <f>SUM(AF143:AF176)</f>
        <v>0</v>
      </c>
      <c r="AG182" s="47">
        <f t="shared" ref="AG182:AM182" si="128">SUM(AG143:AG176)</f>
        <v>0</v>
      </c>
      <c r="AH182" s="47">
        <f t="shared" si="128"/>
        <v>0</v>
      </c>
      <c r="AI182" s="47">
        <f t="shared" si="128"/>
        <v>0</v>
      </c>
      <c r="AJ182" s="47">
        <f t="shared" si="128"/>
        <v>0</v>
      </c>
      <c r="AK182" s="47">
        <f t="shared" si="128"/>
        <v>0</v>
      </c>
      <c r="AL182" s="47">
        <f t="shared" si="128"/>
        <v>0</v>
      </c>
      <c r="AM182" s="47">
        <f t="shared" si="128"/>
        <v>50</v>
      </c>
      <c r="AN182" s="86">
        <f>SUM(N182:AM182)</f>
        <v>2885</v>
      </c>
      <c r="AO182" s="87"/>
    </row>
    <row r="184" spans="1:41" ht="15" customHeight="1" x14ac:dyDescent="0.25"/>
    <row r="190" spans="1:41" s="61" customFormat="1" x14ac:dyDescent="0.25">
      <c r="A190" s="6"/>
      <c r="B190" s="6"/>
      <c r="C190" s="29"/>
      <c r="D190" s="5"/>
      <c r="E190" s="38"/>
      <c r="F190" s="192"/>
      <c r="G190" s="212"/>
      <c r="H190" s="213"/>
      <c r="I190" s="44"/>
      <c r="J190" s="48"/>
      <c r="K190" s="4"/>
      <c r="L190"/>
      <c r="M190" s="44"/>
      <c r="N190" s="41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/>
      <c r="AO190"/>
    </row>
    <row r="201" spans="1:41" s="61" customFormat="1" x14ac:dyDescent="0.25">
      <c r="A201" s="6"/>
      <c r="B201" s="6"/>
      <c r="C201" s="29"/>
      <c r="D201" s="5"/>
      <c r="E201" s="38"/>
      <c r="F201" s="192"/>
      <c r="G201" s="212"/>
      <c r="H201" s="213"/>
      <c r="I201" s="44"/>
      <c r="J201" s="48"/>
      <c r="K201" s="4"/>
      <c r="L201"/>
      <c r="M201" s="44"/>
      <c r="N201" s="41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/>
      <c r="AO201"/>
    </row>
    <row r="216" ht="15.75" customHeight="1" x14ac:dyDescent="0.25"/>
    <row r="232" ht="16.5" customHeight="1" x14ac:dyDescent="0.25"/>
    <row r="233" ht="18" customHeight="1" x14ac:dyDescent="0.25"/>
    <row r="234" ht="18" customHeight="1" x14ac:dyDescent="0.25"/>
    <row r="235" ht="18" customHeight="1" x14ac:dyDescent="0.25"/>
    <row r="261" ht="16.5" customHeight="1" x14ac:dyDescent="0.25"/>
    <row r="295" ht="16.5" customHeight="1" x14ac:dyDescent="0.25"/>
    <row r="328" ht="17.25" customHeight="1" x14ac:dyDescent="0.25"/>
    <row r="347" ht="17.25" customHeight="1" x14ac:dyDescent="0.25"/>
    <row r="353" spans="1:41" s="67" customFormat="1" x14ac:dyDescent="0.25">
      <c r="A353" s="6"/>
      <c r="B353" s="6"/>
      <c r="C353" s="29"/>
      <c r="D353" s="5"/>
      <c r="E353" s="38"/>
      <c r="F353" s="192"/>
      <c r="G353" s="212"/>
      <c r="H353" s="213"/>
      <c r="I353" s="44"/>
      <c r="J353" s="48"/>
      <c r="K353" s="4"/>
      <c r="L353"/>
      <c r="M353" s="44"/>
      <c r="N353" s="41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/>
      <c r="AO353"/>
    </row>
    <row r="354" spans="1:41" s="67" customFormat="1" x14ac:dyDescent="0.25">
      <c r="A354" s="6"/>
      <c r="B354" s="6"/>
      <c r="C354" s="29"/>
      <c r="D354" s="5"/>
      <c r="E354" s="38"/>
      <c r="F354" s="192"/>
      <c r="G354" s="212"/>
      <c r="H354" s="213"/>
      <c r="I354" s="44"/>
      <c r="J354" s="48"/>
      <c r="K354" s="4"/>
      <c r="L354"/>
      <c r="M354" s="44"/>
      <c r="N354" s="41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/>
      <c r="AO354"/>
    </row>
    <row r="359" spans="1:41" ht="17.25" customHeight="1" x14ac:dyDescent="0.25"/>
    <row r="371" spans="1:41" s="70" customFormat="1" x14ac:dyDescent="0.25">
      <c r="A371" s="6"/>
      <c r="B371" s="6"/>
      <c r="C371" s="29"/>
      <c r="D371" s="5"/>
      <c r="E371" s="38"/>
      <c r="F371" s="192"/>
      <c r="G371" s="212"/>
      <c r="H371" s="213"/>
      <c r="I371" s="44"/>
      <c r="J371" s="48"/>
      <c r="K371" s="4"/>
      <c r="L371"/>
      <c r="M371" s="44"/>
      <c r="N371" s="41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/>
      <c r="AO371"/>
    </row>
    <row r="385" ht="17.25" customHeight="1" x14ac:dyDescent="0.25"/>
  </sheetData>
  <sortState xmlns:xlrd2="http://schemas.microsoft.com/office/spreadsheetml/2017/richdata2" ref="I35:J38">
    <sortCondition descending="1" ref="I35:I38"/>
    <sortCondition descending="1" ref="J35:J38"/>
  </sortState>
  <pageMargins left="0.25" right="0.25" top="0.25" bottom="0.25" header="0" footer="0"/>
  <pageSetup orientation="landscape" horizontalDpi="300" verticalDpi="300" r:id="rId1"/>
  <rowBreaks count="1" manualBreakCount="1">
    <brk id="20" max="12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3560-9385-4149-9A25-0348DE56A84D}">
  <sheetPr codeName="Sheet8"/>
  <dimension ref="A1:C21"/>
  <sheetViews>
    <sheetView workbookViewId="0">
      <selection activeCell="B21" sqref="B21"/>
    </sheetView>
  </sheetViews>
  <sheetFormatPr defaultRowHeight="15" x14ac:dyDescent="0.25"/>
  <cols>
    <col min="3" max="3" width="9.140625" style="44"/>
  </cols>
  <sheetData>
    <row r="1" spans="1:3" x14ac:dyDescent="0.25">
      <c r="A1" t="s">
        <v>31</v>
      </c>
      <c r="B1">
        <v>350</v>
      </c>
    </row>
    <row r="2" spans="1:3" x14ac:dyDescent="0.25">
      <c r="A2" t="s">
        <v>19</v>
      </c>
      <c r="B2">
        <v>225</v>
      </c>
      <c r="C2" s="44" t="s">
        <v>209</v>
      </c>
    </row>
    <row r="3" spans="1:3" x14ac:dyDescent="0.25">
      <c r="A3" t="s">
        <v>18</v>
      </c>
      <c r="B3">
        <v>365</v>
      </c>
      <c r="C3" s="44" t="s">
        <v>209</v>
      </c>
    </row>
    <row r="4" spans="1:3" x14ac:dyDescent="0.25">
      <c r="A4" t="s">
        <v>22</v>
      </c>
      <c r="B4">
        <v>145</v>
      </c>
      <c r="C4" s="44" t="s">
        <v>209</v>
      </c>
    </row>
    <row r="5" spans="1:3" x14ac:dyDescent="0.25">
      <c r="A5" t="s">
        <v>24</v>
      </c>
      <c r="B5">
        <v>75</v>
      </c>
      <c r="C5" s="44">
        <v>75</v>
      </c>
    </row>
    <row r="6" spans="1:3" x14ac:dyDescent="0.25">
      <c r="A6" t="s">
        <v>20</v>
      </c>
      <c r="B6">
        <v>290</v>
      </c>
      <c r="C6" s="44" t="s">
        <v>209</v>
      </c>
    </row>
    <row r="8" spans="1:3" x14ac:dyDescent="0.25">
      <c r="A8" t="s">
        <v>73</v>
      </c>
      <c r="B8">
        <v>145</v>
      </c>
      <c r="C8" s="44" t="s">
        <v>209</v>
      </c>
    </row>
    <row r="9" spans="1:3" x14ac:dyDescent="0.25">
      <c r="A9" t="s">
        <v>21</v>
      </c>
      <c r="B9">
        <v>290</v>
      </c>
    </row>
    <row r="10" spans="1:3" x14ac:dyDescent="0.25">
      <c r="A10" t="s">
        <v>104</v>
      </c>
      <c r="B10">
        <v>75</v>
      </c>
      <c r="C10" s="44">
        <v>75</v>
      </c>
    </row>
    <row r="13" spans="1:3" x14ac:dyDescent="0.25">
      <c r="A13" t="s">
        <v>77</v>
      </c>
      <c r="B13">
        <v>75</v>
      </c>
      <c r="C13" s="44">
        <v>75</v>
      </c>
    </row>
    <row r="14" spans="1:3" x14ac:dyDescent="0.25">
      <c r="A14" t="s">
        <v>28</v>
      </c>
      <c r="B14">
        <v>140</v>
      </c>
      <c r="C14" s="44">
        <v>140</v>
      </c>
    </row>
    <row r="15" spans="1:3" x14ac:dyDescent="0.25">
      <c r="A15" t="s">
        <v>74</v>
      </c>
      <c r="B15">
        <v>70</v>
      </c>
      <c r="C15" s="44" t="s">
        <v>207</v>
      </c>
    </row>
    <row r="16" spans="1:3" x14ac:dyDescent="0.25">
      <c r="A16" t="s">
        <v>75</v>
      </c>
      <c r="B16">
        <v>140</v>
      </c>
      <c r="C16" s="44" t="s">
        <v>207</v>
      </c>
    </row>
    <row r="17" spans="1:3" x14ac:dyDescent="0.25">
      <c r="A17" t="s">
        <v>106</v>
      </c>
      <c r="B17">
        <v>215</v>
      </c>
      <c r="C17" s="44" t="s">
        <v>208</v>
      </c>
    </row>
    <row r="18" spans="1:3" x14ac:dyDescent="0.25">
      <c r="A18" t="s">
        <v>107</v>
      </c>
      <c r="B18">
        <v>215</v>
      </c>
      <c r="C18" s="44" t="s">
        <v>207</v>
      </c>
    </row>
    <row r="19" spans="1:3" x14ac:dyDescent="0.25">
      <c r="A19" t="s">
        <v>108</v>
      </c>
      <c r="B19">
        <v>70</v>
      </c>
      <c r="C19" s="44" t="s">
        <v>207</v>
      </c>
    </row>
    <row r="21" spans="1:3" x14ac:dyDescent="0.25">
      <c r="B21">
        <f>SUM(B1:B19)</f>
        <v>2885</v>
      </c>
    </row>
  </sheetData>
  <sortState xmlns:xlrd2="http://schemas.microsoft.com/office/spreadsheetml/2017/richdata2" ref="A1:B27">
    <sortCondition descending="1" ref="B1:B2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6963-F399-4200-AAB7-0ABDFCA1AF67}">
  <sheetPr codeName="Sheet5"/>
  <dimension ref="A1:F44"/>
  <sheetViews>
    <sheetView tabSelected="1" zoomScaleNormal="100" workbookViewId="0">
      <selection sqref="A1:F1"/>
    </sheetView>
  </sheetViews>
  <sheetFormatPr defaultRowHeight="12.75" x14ac:dyDescent="0.2"/>
  <cols>
    <col min="1" max="1" width="8.28515625" style="405" customWidth="1"/>
    <col min="2" max="2" width="8.140625" style="147" customWidth="1"/>
    <col min="3" max="3" width="7.28515625" style="147" customWidth="1"/>
    <col min="4" max="4" width="7.28515625" style="149" customWidth="1"/>
    <col min="5" max="6" width="5.140625" style="148" customWidth="1"/>
    <col min="7" max="16384" width="9.140625" style="146"/>
  </cols>
  <sheetData>
    <row r="1" spans="1:6" x14ac:dyDescent="0.2">
      <c r="A1" s="540" t="s">
        <v>213</v>
      </c>
      <c r="B1" s="541"/>
      <c r="C1" s="541"/>
      <c r="D1" s="541"/>
      <c r="E1" s="541"/>
      <c r="F1" s="542"/>
    </row>
    <row r="2" spans="1:6" ht="12" customHeight="1" x14ac:dyDescent="0.2">
      <c r="A2" s="404" t="s">
        <v>191</v>
      </c>
      <c r="B2" s="178" t="s">
        <v>116</v>
      </c>
      <c r="C2" s="178" t="s">
        <v>29</v>
      </c>
      <c r="D2" s="178" t="s">
        <v>5</v>
      </c>
      <c r="E2" s="178" t="s">
        <v>2</v>
      </c>
      <c r="F2" s="178" t="s">
        <v>3</v>
      </c>
    </row>
    <row r="3" spans="1:6" ht="12.95" customHeight="1" x14ac:dyDescent="0.2">
      <c r="A3" s="535">
        <v>46104</v>
      </c>
      <c r="B3" s="522">
        <v>0.70833333333333337</v>
      </c>
      <c r="C3" s="523" t="s">
        <v>215</v>
      </c>
      <c r="D3" s="524"/>
      <c r="E3" s="525" t="s">
        <v>212</v>
      </c>
      <c r="F3" s="526" t="s">
        <v>17</v>
      </c>
    </row>
    <row r="4" spans="1:6" ht="12.95" customHeight="1" x14ac:dyDescent="0.2">
      <c r="A4" s="444">
        <v>46104</v>
      </c>
      <c r="B4" s="440">
        <v>0.70833333333333337</v>
      </c>
      <c r="C4" s="441" t="s">
        <v>77</v>
      </c>
      <c r="D4" s="214"/>
      <c r="E4" s="442" t="s">
        <v>186</v>
      </c>
      <c r="F4" s="443" t="s">
        <v>188</v>
      </c>
    </row>
    <row r="5" spans="1:6" ht="12.95" customHeight="1" x14ac:dyDescent="0.2">
      <c r="A5" s="396">
        <v>46104</v>
      </c>
      <c r="B5" s="357">
        <v>0.70833333333333337</v>
      </c>
      <c r="C5" s="358" t="s">
        <v>18</v>
      </c>
      <c r="D5" s="214"/>
      <c r="E5" s="359" t="s">
        <v>187</v>
      </c>
      <c r="F5" s="376" t="s">
        <v>188</v>
      </c>
    </row>
    <row r="6" spans="1:6" ht="12.95" customHeight="1" x14ac:dyDescent="0.2">
      <c r="A6" s="418">
        <v>46104</v>
      </c>
      <c r="B6" s="414">
        <v>0.75</v>
      </c>
      <c r="C6" s="415" t="s">
        <v>104</v>
      </c>
      <c r="D6" s="415"/>
      <c r="E6" s="416" t="s">
        <v>196</v>
      </c>
      <c r="F6" s="417" t="s">
        <v>196</v>
      </c>
    </row>
    <row r="7" spans="1:6" ht="12.95" customHeight="1" x14ac:dyDescent="0.2">
      <c r="A7" s="536">
        <v>46105</v>
      </c>
      <c r="B7" s="517">
        <v>0.70833333333333337</v>
      </c>
      <c r="C7" s="518" t="s">
        <v>74</v>
      </c>
      <c r="D7" s="519"/>
      <c r="E7" s="520" t="s">
        <v>212</v>
      </c>
      <c r="F7" s="527" t="s">
        <v>17</v>
      </c>
    </row>
    <row r="8" spans="1:6" ht="12.95" customHeight="1" x14ac:dyDescent="0.2">
      <c r="A8" s="397">
        <v>46105</v>
      </c>
      <c r="B8" s="360">
        <v>0.6875</v>
      </c>
      <c r="C8" s="361" t="s">
        <v>18</v>
      </c>
      <c r="D8" s="214"/>
      <c r="E8" s="362" t="s">
        <v>186</v>
      </c>
      <c r="F8" s="377" t="s">
        <v>188</v>
      </c>
    </row>
    <row r="9" spans="1:6" ht="12.95" customHeight="1" x14ac:dyDescent="0.2">
      <c r="A9" s="398">
        <v>46105</v>
      </c>
      <c r="B9" s="363">
        <v>0.79166666666666663</v>
      </c>
      <c r="C9" s="364" t="s">
        <v>19</v>
      </c>
      <c r="D9" s="364" t="s">
        <v>18</v>
      </c>
      <c r="E9" s="365" t="s">
        <v>186</v>
      </c>
      <c r="F9" s="378" t="s">
        <v>190</v>
      </c>
    </row>
    <row r="10" spans="1:6" ht="12.95" customHeight="1" x14ac:dyDescent="0.2">
      <c r="A10" s="399">
        <v>46105</v>
      </c>
      <c r="B10" s="366">
        <v>0.6875</v>
      </c>
      <c r="C10" s="367" t="s">
        <v>216</v>
      </c>
      <c r="D10" s="214"/>
      <c r="E10" s="368" t="s">
        <v>187</v>
      </c>
      <c r="F10" s="379" t="s">
        <v>189</v>
      </c>
    </row>
    <row r="11" spans="1:6" ht="12.95" customHeight="1" x14ac:dyDescent="0.2">
      <c r="A11" s="397">
        <v>46105</v>
      </c>
      <c r="B11" s="360">
        <v>0.79166666666666663</v>
      </c>
      <c r="C11" s="361" t="s">
        <v>21</v>
      </c>
      <c r="D11" s="214"/>
      <c r="E11" s="362" t="s">
        <v>187</v>
      </c>
      <c r="F11" s="377" t="s">
        <v>188</v>
      </c>
    </row>
    <row r="12" spans="1:6" ht="12.95" customHeight="1" x14ac:dyDescent="0.2">
      <c r="A12" s="537">
        <v>46106</v>
      </c>
      <c r="B12" s="521">
        <v>0.70833333333333337</v>
      </c>
      <c r="C12" s="518" t="s">
        <v>111</v>
      </c>
      <c r="D12" s="519"/>
      <c r="E12" s="520" t="s">
        <v>212</v>
      </c>
      <c r="F12" s="527" t="s">
        <v>17</v>
      </c>
    </row>
    <row r="13" spans="1:6" ht="12.95" customHeight="1" x14ac:dyDescent="0.2">
      <c r="A13" s="400">
        <v>46106</v>
      </c>
      <c r="B13" s="369">
        <v>0.70833333333333337</v>
      </c>
      <c r="C13" s="370" t="s">
        <v>104</v>
      </c>
      <c r="D13" s="370" t="s">
        <v>21</v>
      </c>
      <c r="E13" s="371" t="s">
        <v>186</v>
      </c>
      <c r="F13" s="380" t="s">
        <v>190</v>
      </c>
    </row>
    <row r="14" spans="1:6" ht="12.95" customHeight="1" x14ac:dyDescent="0.2">
      <c r="A14" s="401">
        <v>46106</v>
      </c>
      <c r="B14" s="372">
        <v>0.70833333333333337</v>
      </c>
      <c r="C14" s="373" t="s">
        <v>74</v>
      </c>
      <c r="D14" s="214"/>
      <c r="E14" s="374" t="s">
        <v>187</v>
      </c>
      <c r="F14" s="381" t="s">
        <v>189</v>
      </c>
    </row>
    <row r="15" spans="1:6" ht="12.95" customHeight="1" x14ac:dyDescent="0.2">
      <c r="A15" s="536">
        <v>46107</v>
      </c>
      <c r="B15" s="517">
        <v>0.70833333333333337</v>
      </c>
      <c r="C15" s="518" t="s">
        <v>75</v>
      </c>
      <c r="D15" s="519"/>
      <c r="E15" s="520" t="s">
        <v>212</v>
      </c>
      <c r="F15" s="527" t="s">
        <v>17</v>
      </c>
    </row>
    <row r="16" spans="1:6" ht="12.95" customHeight="1" x14ac:dyDescent="0.2">
      <c r="A16" s="399">
        <v>46107</v>
      </c>
      <c r="B16" s="366">
        <v>0.6875</v>
      </c>
      <c r="C16" s="367" t="s">
        <v>20</v>
      </c>
      <c r="D16" s="214"/>
      <c r="E16" s="368" t="s">
        <v>186</v>
      </c>
      <c r="F16" s="379" t="s">
        <v>189</v>
      </c>
    </row>
    <row r="17" spans="1:6" ht="12.95" customHeight="1" x14ac:dyDescent="0.2">
      <c r="A17" s="398">
        <v>46107</v>
      </c>
      <c r="B17" s="363">
        <v>0.79166666666666663</v>
      </c>
      <c r="C17" s="364" t="s">
        <v>20</v>
      </c>
      <c r="D17" s="364" t="s">
        <v>73</v>
      </c>
      <c r="E17" s="365" t="s">
        <v>186</v>
      </c>
      <c r="F17" s="378" t="s">
        <v>190</v>
      </c>
    </row>
    <row r="18" spans="1:6" ht="12.95" customHeight="1" x14ac:dyDescent="0.2">
      <c r="A18" s="399">
        <v>46107</v>
      </c>
      <c r="B18" s="366">
        <v>0.6875</v>
      </c>
      <c r="C18" s="367" t="s">
        <v>106</v>
      </c>
      <c r="D18" s="214"/>
      <c r="E18" s="368" t="s">
        <v>187</v>
      </c>
      <c r="F18" s="379" t="s">
        <v>189</v>
      </c>
    </row>
    <row r="19" spans="1:6" ht="12.95" customHeight="1" x14ac:dyDescent="0.2">
      <c r="A19" s="397">
        <v>46107</v>
      </c>
      <c r="B19" s="360">
        <v>0.79166666666666663</v>
      </c>
      <c r="C19" s="361" t="s">
        <v>21</v>
      </c>
      <c r="D19" s="214"/>
      <c r="E19" s="362" t="s">
        <v>187</v>
      </c>
      <c r="F19" s="377" t="s">
        <v>188</v>
      </c>
    </row>
    <row r="20" spans="1:6" ht="12.95" customHeight="1" x14ac:dyDescent="0.2">
      <c r="A20" s="537">
        <v>46108</v>
      </c>
      <c r="B20" s="521">
        <v>0.70833333333333337</v>
      </c>
      <c r="C20" s="518"/>
      <c r="D20" s="519"/>
      <c r="E20" s="520" t="s">
        <v>212</v>
      </c>
      <c r="F20" s="527" t="s">
        <v>17</v>
      </c>
    </row>
    <row r="21" spans="1:6" ht="12.95" customHeight="1" x14ac:dyDescent="0.2">
      <c r="A21" s="401">
        <v>46108</v>
      </c>
      <c r="B21" s="372">
        <v>0.70833333333333337</v>
      </c>
      <c r="C21" s="373" t="s">
        <v>106</v>
      </c>
      <c r="D21" s="214"/>
      <c r="E21" s="374" t="s">
        <v>186</v>
      </c>
      <c r="F21" s="381" t="s">
        <v>189</v>
      </c>
    </row>
    <row r="22" spans="1:6" ht="12.95" customHeight="1" x14ac:dyDescent="0.2">
      <c r="A22" s="401">
        <v>46108</v>
      </c>
      <c r="B22" s="372">
        <v>0.70833333333333337</v>
      </c>
      <c r="C22" s="373"/>
      <c r="D22" s="215"/>
      <c r="E22" s="374" t="s">
        <v>187</v>
      </c>
      <c r="F22" s="381" t="s">
        <v>189</v>
      </c>
    </row>
    <row r="24" spans="1:6" x14ac:dyDescent="0.2">
      <c r="A24" s="540" t="s">
        <v>214</v>
      </c>
      <c r="B24" s="541"/>
      <c r="C24" s="541"/>
      <c r="D24" s="541"/>
      <c r="E24" s="541"/>
      <c r="F24" s="542"/>
    </row>
    <row r="25" spans="1:6" x14ac:dyDescent="0.2">
      <c r="A25" s="404" t="s">
        <v>191</v>
      </c>
      <c r="B25" s="178" t="s">
        <v>116</v>
      </c>
      <c r="C25" s="178" t="s">
        <v>29</v>
      </c>
      <c r="D25" s="178" t="s">
        <v>5</v>
      </c>
      <c r="E25" s="178" t="s">
        <v>2</v>
      </c>
      <c r="F25" s="178" t="s">
        <v>3</v>
      </c>
    </row>
    <row r="26" spans="1:6" ht="12.95" customHeight="1" x14ac:dyDescent="0.2">
      <c r="A26" s="397">
        <v>46109</v>
      </c>
      <c r="B26" s="360">
        <v>0.375</v>
      </c>
      <c r="C26" s="382" t="s">
        <v>19</v>
      </c>
      <c r="D26" s="391"/>
      <c r="E26" s="383" t="s">
        <v>186</v>
      </c>
      <c r="F26" s="377" t="s">
        <v>188</v>
      </c>
    </row>
    <row r="27" spans="1:6" ht="12.95" customHeight="1" x14ac:dyDescent="0.2">
      <c r="A27" s="398">
        <v>46109</v>
      </c>
      <c r="B27" s="363">
        <v>0.47916666666666669</v>
      </c>
      <c r="C27" s="384" t="s">
        <v>20</v>
      </c>
      <c r="D27" s="384" t="s">
        <v>217</v>
      </c>
      <c r="E27" s="385" t="s">
        <v>186</v>
      </c>
      <c r="F27" s="392" t="s">
        <v>190</v>
      </c>
    </row>
    <row r="28" spans="1:6" ht="12.95" customHeight="1" x14ac:dyDescent="0.2">
      <c r="A28" s="398">
        <v>46109</v>
      </c>
      <c r="B28" s="363">
        <v>0.58333333333333337</v>
      </c>
      <c r="C28" s="386" t="s">
        <v>18</v>
      </c>
      <c r="D28" s="384" t="s">
        <v>20</v>
      </c>
      <c r="E28" s="387" t="s">
        <v>186</v>
      </c>
      <c r="F28" s="393" t="s">
        <v>190</v>
      </c>
    </row>
    <row r="29" spans="1:6" ht="12.95" customHeight="1" x14ac:dyDescent="0.2">
      <c r="A29" s="398">
        <v>46109</v>
      </c>
      <c r="B29" s="363">
        <v>0.6875</v>
      </c>
      <c r="C29" s="386" t="s">
        <v>21</v>
      </c>
      <c r="D29" s="384" t="s">
        <v>18</v>
      </c>
      <c r="E29" s="388" t="s">
        <v>186</v>
      </c>
      <c r="F29" s="392" t="s">
        <v>190</v>
      </c>
    </row>
    <row r="30" spans="1:6" ht="12.95" customHeight="1" x14ac:dyDescent="0.2">
      <c r="A30" s="397">
        <v>46109</v>
      </c>
      <c r="B30" s="360">
        <v>0.375</v>
      </c>
      <c r="C30" s="361" t="s">
        <v>106</v>
      </c>
      <c r="D30" s="375"/>
      <c r="E30" s="362" t="s">
        <v>187</v>
      </c>
      <c r="F30" s="377" t="s">
        <v>188</v>
      </c>
    </row>
    <row r="31" spans="1:6" ht="12.95" customHeight="1" x14ac:dyDescent="0.2">
      <c r="A31" s="397">
        <v>46109</v>
      </c>
      <c r="B31" s="360">
        <v>0.47916666666666669</v>
      </c>
      <c r="C31" s="361" t="s">
        <v>106</v>
      </c>
      <c r="D31" s="375"/>
      <c r="E31" s="362" t="s">
        <v>187</v>
      </c>
      <c r="F31" s="377" t="s">
        <v>188</v>
      </c>
    </row>
    <row r="32" spans="1:6" ht="12.95" customHeight="1" x14ac:dyDescent="0.2">
      <c r="A32" s="402">
        <v>46109</v>
      </c>
      <c r="B32" s="389">
        <v>0.58333333333333337</v>
      </c>
      <c r="C32" s="361" t="s">
        <v>21</v>
      </c>
      <c r="D32" s="390"/>
      <c r="E32" s="362" t="s">
        <v>187</v>
      </c>
      <c r="F32" s="377" t="s">
        <v>188</v>
      </c>
    </row>
    <row r="33" spans="1:6" ht="12.95" customHeight="1" x14ac:dyDescent="0.2">
      <c r="A33" s="397">
        <v>46109</v>
      </c>
      <c r="B33" s="360">
        <v>0.6875</v>
      </c>
      <c r="C33" s="361" t="s">
        <v>73</v>
      </c>
      <c r="D33" s="375"/>
      <c r="E33" s="362" t="s">
        <v>187</v>
      </c>
      <c r="F33" s="377" t="s">
        <v>188</v>
      </c>
    </row>
    <row r="34" spans="1:6" ht="12.95" customHeight="1" x14ac:dyDescent="0.2">
      <c r="A34" s="403">
        <v>46110</v>
      </c>
      <c r="B34" s="216">
        <v>0.375</v>
      </c>
      <c r="C34" s="217" t="s">
        <v>102</v>
      </c>
      <c r="D34" s="214"/>
      <c r="E34" s="150" t="s">
        <v>186</v>
      </c>
      <c r="F34" s="151" t="s">
        <v>189</v>
      </c>
    </row>
    <row r="35" spans="1:6" ht="12.95" customHeight="1" x14ac:dyDescent="0.2">
      <c r="A35" s="403">
        <v>46110</v>
      </c>
      <c r="B35" s="216">
        <v>0.47916666666666669</v>
      </c>
      <c r="C35" s="217" t="s">
        <v>102</v>
      </c>
      <c r="D35" s="214"/>
      <c r="E35" s="150" t="s">
        <v>186</v>
      </c>
      <c r="F35" s="151" t="s">
        <v>189</v>
      </c>
    </row>
    <row r="36" spans="1:6" ht="12.95" customHeight="1" x14ac:dyDescent="0.2">
      <c r="A36" s="403">
        <v>46110</v>
      </c>
      <c r="B36" s="216">
        <v>0.58333333333333337</v>
      </c>
      <c r="C36" s="217" t="s">
        <v>75</v>
      </c>
      <c r="D36" s="214"/>
      <c r="E36" s="150" t="s">
        <v>186</v>
      </c>
      <c r="F36" s="151" t="s">
        <v>189</v>
      </c>
    </row>
    <row r="37" spans="1:6" ht="12.95" customHeight="1" x14ac:dyDescent="0.2">
      <c r="A37" s="403">
        <v>46110</v>
      </c>
      <c r="B37" s="216">
        <v>0.375</v>
      </c>
      <c r="C37" s="217" t="s">
        <v>74</v>
      </c>
      <c r="D37" s="214"/>
      <c r="E37" s="150" t="s">
        <v>187</v>
      </c>
      <c r="F37" s="151" t="s">
        <v>189</v>
      </c>
    </row>
    <row r="38" spans="1:6" ht="12.95" customHeight="1" x14ac:dyDescent="0.2">
      <c r="A38" s="403">
        <v>46110</v>
      </c>
      <c r="B38" s="216">
        <v>0.47916666666666669</v>
      </c>
      <c r="C38" s="217" t="s">
        <v>23</v>
      </c>
      <c r="D38" s="214"/>
      <c r="E38" s="150" t="s">
        <v>187</v>
      </c>
      <c r="F38" s="151" t="s">
        <v>189</v>
      </c>
    </row>
    <row r="39" spans="1:6" ht="12.95" customHeight="1" x14ac:dyDescent="0.2">
      <c r="A39" s="538">
        <v>46110</v>
      </c>
      <c r="B39" s="528">
        <v>0.58333333333333337</v>
      </c>
      <c r="C39" s="529" t="s">
        <v>23</v>
      </c>
      <c r="D39" s="214"/>
      <c r="E39" s="530" t="s">
        <v>187</v>
      </c>
      <c r="F39" s="534" t="s">
        <v>189</v>
      </c>
    </row>
    <row r="40" spans="1:6" ht="12.95" customHeight="1" x14ac:dyDescent="0.2">
      <c r="A40" s="539">
        <v>46110</v>
      </c>
      <c r="B40" s="531">
        <v>0.375</v>
      </c>
      <c r="C40" s="532" t="s">
        <v>218</v>
      </c>
      <c r="D40" s="214"/>
      <c r="E40" s="533" t="s">
        <v>212</v>
      </c>
      <c r="F40" s="526" t="s">
        <v>17</v>
      </c>
    </row>
    <row r="41" spans="1:6" ht="12.95" customHeight="1" x14ac:dyDescent="0.2">
      <c r="A41" s="539">
        <v>46110</v>
      </c>
      <c r="B41" s="531">
        <v>0.45833333333333331</v>
      </c>
      <c r="C41" s="532" t="s">
        <v>74</v>
      </c>
      <c r="D41" s="214"/>
      <c r="E41" s="533" t="s">
        <v>212</v>
      </c>
      <c r="F41" s="526" t="s">
        <v>17</v>
      </c>
    </row>
    <row r="42" spans="1:6" ht="12.95" customHeight="1" x14ac:dyDescent="0.2">
      <c r="A42" s="539">
        <v>46110</v>
      </c>
      <c r="B42" s="531">
        <v>0.54166666666666663</v>
      </c>
      <c r="C42" s="532" t="s">
        <v>111</v>
      </c>
      <c r="D42" s="214"/>
      <c r="E42" s="533" t="s">
        <v>212</v>
      </c>
      <c r="F42" s="526" t="s">
        <v>17</v>
      </c>
    </row>
    <row r="43" spans="1:6" ht="12.95" customHeight="1" x14ac:dyDescent="0.2">
      <c r="A43" s="539">
        <v>46110</v>
      </c>
      <c r="B43" s="531">
        <v>0.625</v>
      </c>
      <c r="C43" s="532" t="s">
        <v>219</v>
      </c>
      <c r="D43" s="214"/>
      <c r="E43" s="533" t="s">
        <v>212</v>
      </c>
      <c r="F43" s="526" t="s">
        <v>17</v>
      </c>
    </row>
    <row r="44" spans="1:6" ht="12.95" customHeight="1" x14ac:dyDescent="0.2">
      <c r="A44" s="539">
        <v>46110</v>
      </c>
      <c r="B44" s="531">
        <v>0.70833333333333337</v>
      </c>
      <c r="C44" s="532" t="s">
        <v>219</v>
      </c>
      <c r="D44" s="215"/>
      <c r="E44" s="533" t="s">
        <v>212</v>
      </c>
      <c r="F44" s="526" t="s">
        <v>17</v>
      </c>
    </row>
  </sheetData>
  <mergeCells count="2">
    <mergeCell ref="A1:F1"/>
    <mergeCell ref="A24:F24"/>
  </mergeCells>
  <pageMargins left="0.7" right="0.7" top="0.75" bottom="0.75" header="0.3" footer="0.3"/>
  <pageSetup orientation="portrait" horizontalDpi="300" verticalDpi="300" r:id="rId1"/>
  <webPublishItems count="1">
    <webPublishItem id="15788" divId="2026 LBLL WorkSheet" sourceType="sheet" destinationFile="C:\Umps\2026 Spring\Week1.html" title="LBLL 2026 Spring Baseball Season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DB108-D9C9-4B59-8F30-D3BE12CCC5B6}">
  <sheetPr codeName="Sheet9"/>
  <dimension ref="A2:A10"/>
  <sheetViews>
    <sheetView workbookViewId="0">
      <selection activeCell="A4" sqref="A4"/>
    </sheetView>
  </sheetViews>
  <sheetFormatPr defaultRowHeight="15" x14ac:dyDescent="0.25"/>
  <cols>
    <col min="1" max="1" width="33.140625" customWidth="1"/>
  </cols>
  <sheetData>
    <row r="2" spans="1:1" ht="18.75" x14ac:dyDescent="0.3">
      <c r="A2" s="394" t="s">
        <v>199</v>
      </c>
    </row>
    <row r="3" spans="1:1" ht="18.75" x14ac:dyDescent="0.3">
      <c r="A3" s="394" t="s">
        <v>200</v>
      </c>
    </row>
    <row r="4" spans="1:1" ht="18.75" x14ac:dyDescent="0.3">
      <c r="A4" s="394" t="s">
        <v>201</v>
      </c>
    </row>
    <row r="5" spans="1:1" ht="18.75" x14ac:dyDescent="0.3">
      <c r="A5" s="394"/>
    </row>
    <row r="6" spans="1:1" ht="18.75" x14ac:dyDescent="0.3">
      <c r="A6" s="394" t="s">
        <v>202</v>
      </c>
    </row>
    <row r="7" spans="1:1" ht="18.75" x14ac:dyDescent="0.3">
      <c r="A7" s="394" t="s">
        <v>203</v>
      </c>
    </row>
    <row r="8" spans="1:1" ht="18.75" x14ac:dyDescent="0.3">
      <c r="A8" s="394" t="s">
        <v>204</v>
      </c>
    </row>
    <row r="10" spans="1:1" ht="18.75" x14ac:dyDescent="0.3">
      <c r="A10" s="395" t="s">
        <v>205</v>
      </c>
    </row>
  </sheetData>
  <pageMargins left="0.7" right="0.7" top="0.75" bottom="0.75" header="0.3" footer="0.3"/>
  <webPublishItems count="1">
    <webPublishItem id="19856" divId="2026_LBLL_Schedule_19856" sourceType="sheet" destinationFile="C:\Umps\2026 Spring\Week2Blank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4A82-AE14-4121-B3F6-1E740B5CCD33}">
  <sheetPr codeName="Sheet2"/>
  <dimension ref="A1:Q29"/>
  <sheetViews>
    <sheetView workbookViewId="0">
      <selection activeCell="B11" sqref="B11"/>
    </sheetView>
  </sheetViews>
  <sheetFormatPr defaultRowHeight="15" x14ac:dyDescent="0.25"/>
  <cols>
    <col min="1" max="1" width="17.5703125" style="2" bestFit="1" customWidth="1"/>
    <col min="2" max="2" width="9" style="2" bestFit="1" customWidth="1"/>
    <col min="3" max="3" width="11" style="2" bestFit="1" customWidth="1"/>
    <col min="4" max="4" width="9.140625" style="2" bestFit="1" customWidth="1"/>
    <col min="5" max="5" width="12.42578125" style="2" bestFit="1" customWidth="1"/>
    <col min="6" max="6" width="3.140625" style="2" customWidth="1"/>
    <col min="7" max="7" width="14.7109375" style="2" customWidth="1"/>
    <col min="8" max="8" width="12.42578125" style="2" bestFit="1" customWidth="1"/>
    <col min="9" max="9" width="3.140625" style="2" customWidth="1"/>
    <col min="10" max="10" width="16.42578125" style="2" customWidth="1"/>
    <col min="11" max="11" width="12.42578125" style="2" bestFit="1" customWidth="1"/>
    <col min="12" max="12" width="23.7109375" style="2" customWidth="1"/>
    <col min="13" max="13" width="9.140625" style="2"/>
    <col min="14" max="14" width="17.5703125" style="2" customWidth="1"/>
    <col min="15" max="15" width="21" style="2" customWidth="1"/>
    <col min="16" max="16" width="14.5703125" customWidth="1"/>
    <col min="17" max="17" width="3.7109375" customWidth="1"/>
    <col min="18" max="16384" width="9.140625" style="2"/>
  </cols>
  <sheetData>
    <row r="1" spans="1:4" x14ac:dyDescent="0.25">
      <c r="A1"/>
      <c r="B1" s="44" t="s">
        <v>138</v>
      </c>
      <c r="C1" s="44" t="s">
        <v>139</v>
      </c>
      <c r="D1" s="44" t="s">
        <v>140</v>
      </c>
    </row>
    <row r="2" spans="1:4" x14ac:dyDescent="0.25">
      <c r="A2" s="126" t="s">
        <v>141</v>
      </c>
      <c r="B2" s="126"/>
      <c r="C2" s="126" t="s">
        <v>142</v>
      </c>
      <c r="D2" s="126"/>
    </row>
    <row r="3" spans="1:4" x14ac:dyDescent="0.25">
      <c r="A3" s="126" t="s">
        <v>37</v>
      </c>
      <c r="B3" s="127" t="s">
        <v>143</v>
      </c>
      <c r="C3" s="126"/>
      <c r="D3" s="126"/>
    </row>
    <row r="4" spans="1:4" x14ac:dyDescent="0.25">
      <c r="A4" s="126" t="s">
        <v>36</v>
      </c>
      <c r="B4" s="126"/>
      <c r="C4" s="126"/>
      <c r="D4" s="126"/>
    </row>
    <row r="5" spans="1:4" x14ac:dyDescent="0.25">
      <c r="A5" s="126" t="s">
        <v>144</v>
      </c>
      <c r="B5" s="126"/>
      <c r="C5" s="126"/>
      <c r="D5" s="126"/>
    </row>
    <row r="6" spans="1:4" x14ac:dyDescent="0.25">
      <c r="A6" s="126" t="s">
        <v>145</v>
      </c>
      <c r="B6" s="126"/>
      <c r="C6" s="126"/>
      <c r="D6" s="126"/>
    </row>
    <row r="7" spans="1:4" x14ac:dyDescent="0.25">
      <c r="A7" s="126" t="s">
        <v>76</v>
      </c>
      <c r="B7" s="126"/>
      <c r="C7" s="126"/>
      <c r="D7" s="126"/>
    </row>
    <row r="8" spans="1:4" x14ac:dyDescent="0.25">
      <c r="A8" s="128" t="s">
        <v>146</v>
      </c>
      <c r="B8" s="126" t="s">
        <v>147</v>
      </c>
      <c r="C8" s="126"/>
      <c r="D8" s="126"/>
    </row>
    <row r="9" spans="1:4" x14ac:dyDescent="0.25">
      <c r="A9" s="126" t="s">
        <v>13</v>
      </c>
      <c r="B9" s="126" t="s">
        <v>148</v>
      </c>
      <c r="C9" s="126"/>
      <c r="D9" s="126"/>
    </row>
    <row r="10" spans="1:4" x14ac:dyDescent="0.25">
      <c r="A10" s="129" t="s">
        <v>149</v>
      </c>
      <c r="B10" s="126"/>
      <c r="C10" s="126"/>
      <c r="D10" s="126"/>
    </row>
    <row r="11" spans="1:4" x14ac:dyDescent="0.25">
      <c r="A11"/>
      <c r="B11"/>
      <c r="C11"/>
      <c r="D11"/>
    </row>
    <row r="12" spans="1:4" x14ac:dyDescent="0.25">
      <c r="A12" s="130" t="s">
        <v>150</v>
      </c>
      <c r="B12" t="s">
        <v>151</v>
      </c>
      <c r="C12"/>
      <c r="D12"/>
    </row>
    <row r="13" spans="1:4" x14ac:dyDescent="0.25">
      <c r="A13" s="130" t="s">
        <v>152</v>
      </c>
      <c r="B13" t="s">
        <v>153</v>
      </c>
      <c r="C13"/>
      <c r="D13"/>
    </row>
    <row r="14" spans="1:4" x14ac:dyDescent="0.25">
      <c r="A14" t="s">
        <v>10</v>
      </c>
      <c r="B14"/>
      <c r="C14" t="s">
        <v>154</v>
      </c>
      <c r="D14"/>
    </row>
    <row r="15" spans="1:4" x14ac:dyDescent="0.25">
      <c r="A15" t="s">
        <v>6</v>
      </c>
      <c r="B15" t="s">
        <v>155</v>
      </c>
      <c r="C15"/>
      <c r="D15"/>
    </row>
    <row r="16" spans="1:4" x14ac:dyDescent="0.25">
      <c r="A16" t="s">
        <v>7</v>
      </c>
      <c r="B16"/>
      <c r="C16"/>
      <c r="D16" t="s">
        <v>156</v>
      </c>
    </row>
    <row r="17" spans="1:4" x14ac:dyDescent="0.25">
      <c r="A17" t="s">
        <v>12</v>
      </c>
      <c r="B17"/>
      <c r="C17"/>
      <c r="D17" t="s">
        <v>156</v>
      </c>
    </row>
    <row r="18" spans="1:4" x14ac:dyDescent="0.25">
      <c r="A18" s="131" t="s">
        <v>157</v>
      </c>
      <c r="B18"/>
      <c r="C18"/>
      <c r="D18" t="s">
        <v>156</v>
      </c>
    </row>
    <row r="19" spans="1:4" x14ac:dyDescent="0.25">
      <c r="A19" t="s">
        <v>8</v>
      </c>
      <c r="B19"/>
      <c r="C19"/>
      <c r="D19" t="s">
        <v>156</v>
      </c>
    </row>
    <row r="20" spans="1:4" x14ac:dyDescent="0.25">
      <c r="A20" t="s">
        <v>11</v>
      </c>
      <c r="B20"/>
      <c r="C20"/>
      <c r="D20" t="s">
        <v>156</v>
      </c>
    </row>
    <row r="21" spans="1:4" x14ac:dyDescent="0.25">
      <c r="A21" t="s">
        <v>32</v>
      </c>
      <c r="B21"/>
      <c r="C21" t="s">
        <v>158</v>
      </c>
      <c r="D21"/>
    </row>
    <row r="22" spans="1:4" x14ac:dyDescent="0.25">
      <c r="A22" t="s">
        <v>159</v>
      </c>
      <c r="B22"/>
      <c r="C22"/>
      <c r="D22"/>
    </row>
    <row r="23" spans="1:4" x14ac:dyDescent="0.25">
      <c r="A23"/>
      <c r="B23"/>
      <c r="C23"/>
      <c r="D23"/>
    </row>
    <row r="24" spans="1:4" x14ac:dyDescent="0.25">
      <c r="A24" s="132" t="s">
        <v>9</v>
      </c>
      <c r="B24"/>
      <c r="C24"/>
      <c r="D24"/>
    </row>
    <row r="25" spans="1:4" x14ac:dyDescent="0.25">
      <c r="A25" t="s">
        <v>14</v>
      </c>
      <c r="B25"/>
      <c r="C25"/>
      <c r="D25"/>
    </row>
    <row r="26" spans="1:4" x14ac:dyDescent="0.25">
      <c r="A26" s="130" t="s">
        <v>160</v>
      </c>
      <c r="B26"/>
      <c r="C26"/>
      <c r="D26"/>
    </row>
    <row r="27" spans="1:4" x14ac:dyDescent="0.25">
      <c r="A27" s="130" t="s">
        <v>161</v>
      </c>
      <c r="B27"/>
      <c r="C27"/>
      <c r="D27" t="s">
        <v>156</v>
      </c>
    </row>
    <row r="28" spans="1:4" x14ac:dyDescent="0.25">
      <c r="A28" s="130" t="s">
        <v>162</v>
      </c>
      <c r="B28"/>
      <c r="C28"/>
      <c r="D28"/>
    </row>
    <row r="29" spans="1:4" x14ac:dyDescent="0.25">
      <c r="A29" s="131" t="s">
        <v>163</v>
      </c>
      <c r="B29"/>
      <c r="C29"/>
      <c r="D29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E2DA3-FD06-495A-A86A-CA95F07BFA9F}">
  <sheetPr codeName="Sheet6"/>
  <dimension ref="B3:I24"/>
  <sheetViews>
    <sheetView workbookViewId="0">
      <selection activeCell="H7" sqref="H7"/>
    </sheetView>
  </sheetViews>
  <sheetFormatPr defaultRowHeight="15" x14ac:dyDescent="0.25"/>
  <cols>
    <col min="1" max="1" width="9.140625" style="44"/>
    <col min="2" max="2" width="12.28515625" style="44" bestFit="1" customWidth="1"/>
    <col min="3" max="3" width="10.5703125" style="44" bestFit="1" customWidth="1"/>
    <col min="4" max="4" width="17" customWidth="1"/>
    <col min="5" max="5" width="10.5703125" style="44" bestFit="1" customWidth="1"/>
    <col min="6" max="6" width="12.28515625" style="44" customWidth="1"/>
    <col min="7" max="7" width="9.140625" style="44"/>
    <col min="8" max="8" width="14.5703125" style="44" bestFit="1" customWidth="1"/>
    <col min="9" max="16384" width="9.140625" style="44"/>
  </cols>
  <sheetData>
    <row r="3" spans="2:6" x14ac:dyDescent="0.25">
      <c r="C3" s="48" t="s">
        <v>164</v>
      </c>
      <c r="D3" s="44"/>
      <c r="E3" s="48" t="s">
        <v>165</v>
      </c>
    </row>
    <row r="4" spans="2:6" x14ac:dyDescent="0.25">
      <c r="B4" s="134" t="s">
        <v>166</v>
      </c>
      <c r="C4" s="44">
        <v>50</v>
      </c>
      <c r="D4" s="5" t="s">
        <v>172</v>
      </c>
      <c r="E4" s="44">
        <v>60</v>
      </c>
      <c r="F4" s="135" t="s">
        <v>172</v>
      </c>
    </row>
    <row r="5" spans="2:6" x14ac:dyDescent="0.25">
      <c r="B5" s="136" t="s">
        <v>167</v>
      </c>
      <c r="C5" s="137">
        <v>80</v>
      </c>
      <c r="D5" s="138" t="s">
        <v>172</v>
      </c>
      <c r="E5" s="137">
        <v>95</v>
      </c>
      <c r="F5" s="139" t="s">
        <v>173</v>
      </c>
    </row>
    <row r="6" spans="2:6" x14ac:dyDescent="0.25">
      <c r="B6" s="134" t="s">
        <v>168</v>
      </c>
      <c r="C6" s="44">
        <v>85</v>
      </c>
      <c r="D6" s="5" t="s">
        <v>172</v>
      </c>
      <c r="E6" s="44">
        <v>90</v>
      </c>
      <c r="F6" s="135" t="s">
        <v>173</v>
      </c>
    </row>
    <row r="7" spans="2:6" x14ac:dyDescent="0.25">
      <c r="B7" s="136" t="s">
        <v>170</v>
      </c>
      <c r="C7" s="137">
        <v>85</v>
      </c>
      <c r="D7" s="138" t="s">
        <v>173</v>
      </c>
      <c r="E7" s="137">
        <v>80</v>
      </c>
      <c r="F7" s="139" t="s">
        <v>173</v>
      </c>
    </row>
    <row r="8" spans="2:6" x14ac:dyDescent="0.25">
      <c r="B8" s="136" t="s">
        <v>171</v>
      </c>
      <c r="C8" s="137">
        <v>80</v>
      </c>
      <c r="D8" s="138" t="s">
        <v>173</v>
      </c>
      <c r="E8" s="137">
        <v>70</v>
      </c>
      <c r="F8" s="139" t="s">
        <v>173</v>
      </c>
    </row>
    <row r="10" spans="2:6" x14ac:dyDescent="0.25">
      <c r="B10" s="133" t="s">
        <v>169</v>
      </c>
    </row>
    <row r="11" spans="2:6" x14ac:dyDescent="0.25">
      <c r="B11" s="133" t="s">
        <v>174</v>
      </c>
    </row>
    <row r="12" spans="2:6" x14ac:dyDescent="0.25">
      <c r="B12" s="133" t="s">
        <v>176</v>
      </c>
    </row>
    <row r="14" spans="2:6" x14ac:dyDescent="0.25">
      <c r="B14" s="133" t="s">
        <v>175</v>
      </c>
    </row>
    <row r="16" spans="2:6" x14ac:dyDescent="0.25">
      <c r="B16" s="144" t="s">
        <v>181</v>
      </c>
    </row>
    <row r="17" spans="3:9" x14ac:dyDescent="0.25">
      <c r="C17" s="140">
        <f>G17*C4</f>
        <v>2500</v>
      </c>
      <c r="D17" s="141"/>
      <c r="E17" s="140">
        <f>G17*E4</f>
        <v>3000</v>
      </c>
      <c r="G17" s="44">
        <v>50</v>
      </c>
      <c r="H17" t="s">
        <v>179</v>
      </c>
      <c r="I17" s="145" t="s">
        <v>182</v>
      </c>
    </row>
    <row r="18" spans="3:9" x14ac:dyDescent="0.25">
      <c r="C18" s="140">
        <f>G18*C5</f>
        <v>9600</v>
      </c>
      <c r="D18" s="141"/>
      <c r="E18" s="140">
        <f>G18*E5</f>
        <v>11400</v>
      </c>
      <c r="G18" s="44">
        <v>120</v>
      </c>
      <c r="H18" t="s">
        <v>177</v>
      </c>
      <c r="I18" s="145" t="s">
        <v>183</v>
      </c>
    </row>
    <row r="19" spans="3:9" x14ac:dyDescent="0.25">
      <c r="C19" s="140">
        <f>G19*C6</f>
        <v>8500</v>
      </c>
      <c r="D19" s="141"/>
      <c r="E19" s="140">
        <f>G19*E6</f>
        <v>9000</v>
      </c>
      <c r="G19" s="44">
        <v>100</v>
      </c>
      <c r="H19" t="s">
        <v>178</v>
      </c>
      <c r="I19" s="145" t="s">
        <v>184</v>
      </c>
    </row>
    <row r="20" spans="3:9" x14ac:dyDescent="0.25">
      <c r="C20" s="140">
        <f>G20*C7</f>
        <v>5610</v>
      </c>
      <c r="D20" s="141"/>
      <c r="E20" s="140">
        <f>G20*E7</f>
        <v>5280</v>
      </c>
      <c r="G20" s="44">
        <v>66</v>
      </c>
      <c r="H20" t="s">
        <v>180</v>
      </c>
      <c r="I20" s="145" t="s">
        <v>185</v>
      </c>
    </row>
    <row r="21" spans="3:9" x14ac:dyDescent="0.25">
      <c r="C21" s="140">
        <f>C8*G20</f>
        <v>5280</v>
      </c>
      <c r="D21" s="141"/>
      <c r="E21" s="140">
        <f>E8*G20</f>
        <v>4620</v>
      </c>
    </row>
    <row r="22" spans="3:9" x14ac:dyDescent="0.25">
      <c r="C22" s="140"/>
      <c r="D22" s="141"/>
      <c r="E22" s="140"/>
    </row>
    <row r="23" spans="3:9" x14ac:dyDescent="0.25">
      <c r="C23" s="142">
        <f>SUM(C17:C21)</f>
        <v>31490</v>
      </c>
      <c r="D23" s="143"/>
      <c r="E23" s="142">
        <f>SUM(E17:E21)</f>
        <v>33300</v>
      </c>
    </row>
    <row r="24" spans="3:9" x14ac:dyDescent="0.25">
      <c r="C24" s="44" t="s">
        <v>164</v>
      </c>
      <c r="E24" s="44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0A73-7679-4F70-984C-8387D5C221AF}">
  <sheetPr codeName="Sheet3"/>
  <dimension ref="A1:C41"/>
  <sheetViews>
    <sheetView topLeftCell="A20" workbookViewId="0">
      <selection activeCell="A43" sqref="A43"/>
    </sheetView>
  </sheetViews>
  <sheetFormatPr defaultRowHeight="18.75" x14ac:dyDescent="0.3"/>
  <cols>
    <col min="1" max="1" width="4.42578125" style="62" customWidth="1"/>
    <col min="10" max="10" width="10.28515625" customWidth="1"/>
    <col min="11" max="11" width="14.140625" customWidth="1"/>
  </cols>
  <sheetData>
    <row r="1" spans="1:2" x14ac:dyDescent="0.3">
      <c r="A1" s="62" t="s">
        <v>38</v>
      </c>
    </row>
    <row r="2" spans="1:2" x14ac:dyDescent="0.3">
      <c r="B2" t="s">
        <v>39</v>
      </c>
    </row>
    <row r="3" spans="1:2" x14ac:dyDescent="0.3">
      <c r="B3" t="s">
        <v>40</v>
      </c>
    </row>
    <row r="4" spans="1:2" x14ac:dyDescent="0.3">
      <c r="A4" s="62" t="s">
        <v>41</v>
      </c>
    </row>
    <row r="5" spans="1:2" x14ac:dyDescent="0.3">
      <c r="B5" t="s">
        <v>42</v>
      </c>
    </row>
    <row r="6" spans="1:2" x14ac:dyDescent="0.3">
      <c r="B6" t="s">
        <v>43</v>
      </c>
    </row>
    <row r="7" spans="1:2" x14ac:dyDescent="0.3">
      <c r="A7" s="62" t="s">
        <v>44</v>
      </c>
    </row>
    <row r="8" spans="1:2" x14ac:dyDescent="0.3">
      <c r="B8" t="s">
        <v>45</v>
      </c>
    </row>
    <row r="9" spans="1:2" x14ac:dyDescent="0.3">
      <c r="B9" t="s">
        <v>118</v>
      </c>
    </row>
    <row r="10" spans="1:2" x14ac:dyDescent="0.3">
      <c r="B10" t="s">
        <v>70</v>
      </c>
    </row>
    <row r="11" spans="1:2" x14ac:dyDescent="0.3">
      <c r="B11" t="s">
        <v>71</v>
      </c>
    </row>
    <row r="12" spans="1:2" x14ac:dyDescent="0.3">
      <c r="B12" t="s">
        <v>119</v>
      </c>
    </row>
    <row r="13" spans="1:2" x14ac:dyDescent="0.3">
      <c r="A13" s="62" t="s">
        <v>46</v>
      </c>
      <c r="B13" s="63"/>
    </row>
    <row r="14" spans="1:2" x14ac:dyDescent="0.3">
      <c r="B14" t="s">
        <v>47</v>
      </c>
    </row>
    <row r="15" spans="1:2" x14ac:dyDescent="0.3">
      <c r="B15" t="s">
        <v>48</v>
      </c>
    </row>
    <row r="16" spans="1:2" x14ac:dyDescent="0.3">
      <c r="B16" t="s">
        <v>49</v>
      </c>
    </row>
    <row r="17" spans="1:2" x14ac:dyDescent="0.3">
      <c r="B17" t="s">
        <v>50</v>
      </c>
    </row>
    <row r="18" spans="1:2" x14ac:dyDescent="0.3">
      <c r="B18" t="s">
        <v>51</v>
      </c>
    </row>
    <row r="20" spans="1:2" x14ac:dyDescent="0.3">
      <c r="A20" s="62" t="s">
        <v>67</v>
      </c>
    </row>
    <row r="21" spans="1:2" x14ac:dyDescent="0.3">
      <c r="B21" t="s">
        <v>68</v>
      </c>
    </row>
    <row r="22" spans="1:2" x14ac:dyDescent="0.3">
      <c r="B22" t="s">
        <v>72</v>
      </c>
    </row>
    <row r="23" spans="1:2" x14ac:dyDescent="0.3">
      <c r="B23" t="s">
        <v>69</v>
      </c>
    </row>
    <row r="25" spans="1:2" x14ac:dyDescent="0.3">
      <c r="A25" s="62" t="s">
        <v>53</v>
      </c>
    </row>
    <row r="26" spans="1:2" x14ac:dyDescent="0.3">
      <c r="B26" t="s">
        <v>54</v>
      </c>
    </row>
    <row r="27" spans="1:2" x14ac:dyDescent="0.3">
      <c r="B27" t="s">
        <v>52</v>
      </c>
    </row>
    <row r="28" spans="1:2" x14ac:dyDescent="0.3">
      <c r="B28" t="s">
        <v>55</v>
      </c>
    </row>
    <row r="29" spans="1:2" x14ac:dyDescent="0.3">
      <c r="B29" t="s">
        <v>56</v>
      </c>
    </row>
    <row r="30" spans="1:2" x14ac:dyDescent="0.3">
      <c r="B30" s="66" t="s">
        <v>57</v>
      </c>
    </row>
    <row r="32" spans="1:2" x14ac:dyDescent="0.3">
      <c r="B32" t="s">
        <v>62</v>
      </c>
    </row>
    <row r="33" spans="1:3" x14ac:dyDescent="0.3">
      <c r="B33" t="s">
        <v>58</v>
      </c>
    </row>
    <row r="35" spans="1:3" x14ac:dyDescent="0.3">
      <c r="A35" s="62" t="s">
        <v>59</v>
      </c>
    </row>
    <row r="36" spans="1:3" x14ac:dyDescent="0.3">
      <c r="B36" s="64" t="s">
        <v>65</v>
      </c>
      <c r="C36" s="65"/>
    </row>
    <row r="37" spans="1:3" x14ac:dyDescent="0.3">
      <c r="B37" t="s">
        <v>63</v>
      </c>
    </row>
    <row r="38" spans="1:3" x14ac:dyDescent="0.3">
      <c r="B38" t="s">
        <v>60</v>
      </c>
    </row>
    <row r="39" spans="1:3" x14ac:dyDescent="0.3">
      <c r="B39" t="s">
        <v>66</v>
      </c>
    </row>
    <row r="40" spans="1:3" x14ac:dyDescent="0.3">
      <c r="B40" s="63" t="s">
        <v>61</v>
      </c>
    </row>
    <row r="41" spans="1:3" x14ac:dyDescent="0.3">
      <c r="B41" t="s">
        <v>64</v>
      </c>
    </row>
  </sheetData>
  <pageMargins left="0.25" right="0.25" top="0.25" bottom="0.25" header="0" footer="0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BC07-143C-40E2-B064-683C8772EDBE}">
  <sheetPr codeName="Sheet7"/>
  <dimension ref="A1:E23"/>
  <sheetViews>
    <sheetView showGridLines="0" workbookViewId="0">
      <selection activeCell="C13" sqref="C13"/>
    </sheetView>
  </sheetViews>
  <sheetFormatPr defaultRowHeight="15" x14ac:dyDescent="0.25"/>
  <cols>
    <col min="2" max="2" width="4.5703125" customWidth="1"/>
    <col min="3" max="3" width="57" style="115" customWidth="1"/>
  </cols>
  <sheetData>
    <row r="1" spans="1:5" x14ac:dyDescent="0.25">
      <c r="A1" s="116"/>
      <c r="B1" s="116"/>
      <c r="C1" s="117"/>
      <c r="D1" s="116"/>
      <c r="E1" s="116"/>
    </row>
    <row r="2" spans="1:5" ht="42.75" customHeight="1" x14ac:dyDescent="0.25">
      <c r="A2" s="116"/>
      <c r="B2" s="118" t="s">
        <v>122</v>
      </c>
      <c r="C2" s="117"/>
      <c r="D2" s="116"/>
      <c r="E2" s="116"/>
    </row>
    <row r="3" spans="1:5" x14ac:dyDescent="0.25">
      <c r="A3" s="116"/>
      <c r="B3" s="119">
        <v>1</v>
      </c>
      <c r="C3" s="124" t="s">
        <v>120</v>
      </c>
      <c r="D3" s="116"/>
      <c r="E3" s="116"/>
    </row>
    <row r="4" spans="1:5" ht="27" x14ac:dyDescent="0.25">
      <c r="A4" s="116"/>
      <c r="B4" s="119">
        <v>2</v>
      </c>
      <c r="C4" s="123" t="s">
        <v>127</v>
      </c>
      <c r="D4" s="116"/>
      <c r="E4" s="116"/>
    </row>
    <row r="5" spans="1:5" x14ac:dyDescent="0.25">
      <c r="A5" s="116"/>
      <c r="B5" s="119">
        <v>3</v>
      </c>
      <c r="C5" s="120" t="s">
        <v>126</v>
      </c>
      <c r="D5" s="116"/>
      <c r="E5" s="116"/>
    </row>
    <row r="6" spans="1:5" ht="27" x14ac:dyDescent="0.25">
      <c r="A6" s="116"/>
      <c r="B6" s="119">
        <v>4</v>
      </c>
      <c r="C6" s="123" t="s">
        <v>125</v>
      </c>
      <c r="D6" s="116"/>
      <c r="E6" s="116"/>
    </row>
    <row r="7" spans="1:5" ht="27" x14ac:dyDescent="0.25">
      <c r="A7" s="116"/>
      <c r="B7" s="119">
        <v>5</v>
      </c>
      <c r="C7" s="120" t="s">
        <v>128</v>
      </c>
      <c r="D7" s="116"/>
      <c r="E7" s="116"/>
    </row>
    <row r="8" spans="1:5" ht="27" x14ac:dyDescent="0.25">
      <c r="A8" s="116"/>
      <c r="B8" s="119">
        <v>6</v>
      </c>
      <c r="C8" s="123" t="s">
        <v>136</v>
      </c>
      <c r="D8" s="116"/>
      <c r="E8" s="116"/>
    </row>
    <row r="9" spans="1:5" ht="27" x14ac:dyDescent="0.25">
      <c r="A9" s="116"/>
      <c r="B9" s="119">
        <v>7</v>
      </c>
      <c r="C9" s="120" t="s">
        <v>129</v>
      </c>
      <c r="D9" s="116"/>
      <c r="E9" s="116"/>
    </row>
    <row r="10" spans="1:5" ht="27" x14ac:dyDescent="0.25">
      <c r="A10" s="116"/>
      <c r="B10" s="119">
        <v>8</v>
      </c>
      <c r="C10" s="125" t="s">
        <v>124</v>
      </c>
      <c r="D10" s="116"/>
      <c r="E10" s="116"/>
    </row>
    <row r="11" spans="1:5" x14ac:dyDescent="0.25">
      <c r="A11" s="116"/>
      <c r="B11" s="116"/>
      <c r="C11" s="117"/>
      <c r="D11" s="116"/>
      <c r="E11" s="116"/>
    </row>
    <row r="12" spans="1:5" x14ac:dyDescent="0.25">
      <c r="A12" s="116"/>
      <c r="B12" s="118" t="s">
        <v>123</v>
      </c>
      <c r="C12" s="117"/>
      <c r="D12" s="116"/>
      <c r="E12" s="116"/>
    </row>
    <row r="13" spans="1:5" ht="27" x14ac:dyDescent="0.25">
      <c r="A13" s="116"/>
      <c r="B13" s="119">
        <v>1</v>
      </c>
      <c r="C13" s="121" t="s">
        <v>130</v>
      </c>
      <c r="D13" s="116"/>
      <c r="E13" s="116"/>
    </row>
    <row r="14" spans="1:5" ht="27" x14ac:dyDescent="0.25">
      <c r="A14" s="116"/>
      <c r="B14" s="119"/>
      <c r="C14" s="122" t="s">
        <v>131</v>
      </c>
      <c r="D14" s="116"/>
      <c r="E14" s="116"/>
    </row>
    <row r="15" spans="1:5" ht="27" x14ac:dyDescent="0.25">
      <c r="A15" s="116"/>
      <c r="B15" s="119">
        <v>2</v>
      </c>
      <c r="C15" s="123" t="s">
        <v>135</v>
      </c>
      <c r="D15" s="116"/>
      <c r="E15" s="116"/>
    </row>
    <row r="16" spans="1:5" x14ac:dyDescent="0.25">
      <c r="A16" s="116"/>
      <c r="B16" s="116"/>
      <c r="C16" s="117"/>
      <c r="D16" s="116"/>
      <c r="E16" s="116"/>
    </row>
    <row r="17" spans="1:5" x14ac:dyDescent="0.25">
      <c r="A17" s="116"/>
      <c r="B17" s="118" t="s">
        <v>121</v>
      </c>
      <c r="C17" s="117"/>
      <c r="D17" s="116"/>
      <c r="E17" s="116"/>
    </row>
    <row r="18" spans="1:5" x14ac:dyDescent="0.25">
      <c r="A18" s="116"/>
      <c r="B18" s="116"/>
      <c r="C18" s="120" t="s">
        <v>132</v>
      </c>
      <c r="D18" s="116"/>
      <c r="E18" s="116"/>
    </row>
    <row r="19" spans="1:5" x14ac:dyDescent="0.25">
      <c r="A19" s="116"/>
      <c r="B19" s="116"/>
      <c r="C19" s="123" t="s">
        <v>133</v>
      </c>
      <c r="D19" s="116"/>
      <c r="E19" s="116"/>
    </row>
    <row r="20" spans="1:5" x14ac:dyDescent="0.25">
      <c r="A20" s="116"/>
      <c r="B20" s="116"/>
      <c r="C20" s="120" t="s">
        <v>134</v>
      </c>
      <c r="D20" s="116"/>
      <c r="E20" s="116"/>
    </row>
    <row r="21" spans="1:5" x14ac:dyDescent="0.25">
      <c r="A21" s="116"/>
      <c r="B21" s="116"/>
      <c r="C21" s="117"/>
      <c r="D21" s="116"/>
      <c r="E21" s="116"/>
    </row>
    <row r="22" spans="1:5" x14ac:dyDescent="0.25">
      <c r="A22" s="116"/>
      <c r="B22" s="116"/>
      <c r="C22" s="117"/>
      <c r="D22" s="116"/>
      <c r="E22" s="116"/>
    </row>
    <row r="23" spans="1:5" x14ac:dyDescent="0.25">
      <c r="A23" s="116"/>
      <c r="B23" s="116"/>
      <c r="C23" s="117"/>
      <c r="D23" s="116"/>
      <c r="E23" s="1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03527-B01D-4653-8693-0682C39155F2}">
  <sheetPr codeName="Sheet4"/>
  <dimension ref="A1:B17"/>
  <sheetViews>
    <sheetView workbookViewId="0">
      <selection sqref="A1:B4"/>
    </sheetView>
  </sheetViews>
  <sheetFormatPr defaultRowHeight="15" x14ac:dyDescent="0.25"/>
  <sheetData>
    <row r="1" spans="1:2" ht="23.25" x14ac:dyDescent="0.35">
      <c r="A1" s="68" t="s">
        <v>15</v>
      </c>
    </row>
    <row r="2" spans="1:2" x14ac:dyDescent="0.25">
      <c r="B2" t="s">
        <v>78</v>
      </c>
    </row>
    <row r="3" spans="1:2" x14ac:dyDescent="0.25">
      <c r="B3" t="s">
        <v>81</v>
      </c>
    </row>
    <row r="4" spans="1:2" x14ac:dyDescent="0.25">
      <c r="B4" t="s">
        <v>82</v>
      </c>
    </row>
    <row r="9" spans="1:2" ht="23.25" x14ac:dyDescent="0.35">
      <c r="A9" s="68" t="s">
        <v>16</v>
      </c>
    </row>
    <row r="10" spans="1:2" x14ac:dyDescent="0.25">
      <c r="B10" t="s">
        <v>79</v>
      </c>
    </row>
    <row r="11" spans="1:2" x14ac:dyDescent="0.25">
      <c r="B11" t="s">
        <v>80</v>
      </c>
    </row>
    <row r="12" spans="1:2" x14ac:dyDescent="0.25">
      <c r="B12" t="s">
        <v>82</v>
      </c>
    </row>
    <row r="13" spans="1:2" x14ac:dyDescent="0.25">
      <c r="B13" s="1" t="s">
        <v>83</v>
      </c>
    </row>
    <row r="16" spans="1:2" x14ac:dyDescent="0.25">
      <c r="A16" t="s">
        <v>84</v>
      </c>
    </row>
    <row r="17" spans="1:1" x14ac:dyDescent="0.25">
      <c r="A17" t="s">
        <v>85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Report</vt:lpstr>
      <vt:lpstr>Pay</vt:lpstr>
      <vt:lpstr>WebPage</vt:lpstr>
      <vt:lpstr>BlankWeek2</vt:lpstr>
      <vt:lpstr>Umps</vt:lpstr>
      <vt:lpstr>Sheet2</vt:lpstr>
      <vt:lpstr>Rules</vt:lpstr>
      <vt:lpstr>Plate Mtg</vt:lpstr>
      <vt:lpstr>Sheet1</vt:lpstr>
      <vt:lpstr>Report!Print_Titles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tom Nasuti</cp:lastModifiedBy>
  <cp:lastPrinted>2025-05-13T05:37:46Z</cp:lastPrinted>
  <dcterms:created xsi:type="dcterms:W3CDTF">2025-01-18T02:21:47Z</dcterms:created>
  <dcterms:modified xsi:type="dcterms:W3CDTF">2026-03-23T20:47:22Z</dcterms:modified>
</cp:coreProperties>
</file>